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mdkar\Downloads\"/>
    </mc:Choice>
  </mc:AlternateContent>
  <xr:revisionPtr revIDLastSave="0" documentId="13_ncr:1_{DBF3F1DC-B629-464D-8111-7C12FE9772BC}" xr6:coauthVersionLast="47" xr6:coauthVersionMax="47" xr10:uidLastSave="{00000000-0000-0000-0000-000000000000}"/>
  <bookViews>
    <workbookView xWindow="-120" yWindow="-120" windowWidth="29040" windowHeight="15720" activeTab="2" xr2:uid="{5EC276DC-6CE9-4007-B41C-648ACB19079C}"/>
  </bookViews>
  <sheets>
    <sheet name="Information" sheetId="2" r:id="rId1"/>
    <sheet name="Likelihood consequence risk" sheetId="3" r:id="rId2"/>
    <sheet name="Risk Assessment &amp; Treatment"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 l="1"/>
  <c r="G7" i="1"/>
  <c r="G8" i="1"/>
  <c r="G9" i="1"/>
  <c r="G10" i="1"/>
  <c r="G11" i="1"/>
  <c r="G12" i="1"/>
  <c r="G13" i="1"/>
  <c r="G14" i="1"/>
  <c r="G15" i="1"/>
  <c r="G16" i="1"/>
  <c r="G17" i="1"/>
  <c r="G18" i="1"/>
  <c r="G5" i="1"/>
</calcChain>
</file>

<file path=xl/sharedStrings.xml><?xml version="1.0" encoding="utf-8"?>
<sst xmlns="http://schemas.openxmlformats.org/spreadsheetml/2006/main" count="289" uniqueCount="186">
  <si>
    <t>Asset Name</t>
  </si>
  <si>
    <t>Threat</t>
  </si>
  <si>
    <t>Vulnerablity</t>
  </si>
  <si>
    <t xml:space="preserve">Risk Likelihood </t>
  </si>
  <si>
    <t>Analysis Of Present Controls</t>
  </si>
  <si>
    <t>Control Recommendation</t>
  </si>
  <si>
    <t xml:space="preserve">Risk Impact   </t>
  </si>
  <si>
    <t>Group no.</t>
  </si>
  <si>
    <t>PRN</t>
  </si>
  <si>
    <t>Name</t>
  </si>
  <si>
    <t>Division</t>
  </si>
  <si>
    <t>CIA impact</t>
  </si>
  <si>
    <t>Risk score</t>
  </si>
  <si>
    <t xml:space="preserve"> Justification</t>
  </si>
  <si>
    <t>Implementation Due Date</t>
  </si>
  <si>
    <t>Date Implemented</t>
  </si>
  <si>
    <t>Probability of Occurrence</t>
  </si>
  <si>
    <t>Description</t>
  </si>
  <si>
    <t>Almost certain</t>
  </si>
  <si>
    <t>Likely</t>
  </si>
  <si>
    <t>Possible</t>
  </si>
  <si>
    <t>Unlikely</t>
  </si>
  <si>
    <t>Rare</t>
  </si>
  <si>
    <t xml:space="preserve">Potential Impact </t>
  </si>
  <si>
    <t>Severe</t>
  </si>
  <si>
    <t>Major</t>
  </si>
  <si>
    <t>Moderate</t>
  </si>
  <si>
    <t>Minor</t>
  </si>
  <si>
    <t>Insignificant</t>
  </si>
  <si>
    <t>Financial</t>
  </si>
  <si>
    <t>People</t>
  </si>
  <si>
    <t>Reputation</t>
  </si>
  <si>
    <t>Likelihood</t>
  </si>
  <si>
    <t>Consequence</t>
  </si>
  <si>
    <t>5 - Almost Certain</t>
  </si>
  <si>
    <t>Low</t>
  </si>
  <si>
    <t>Medium</t>
  </si>
  <si>
    <t>High</t>
  </si>
  <si>
    <t>Extreme</t>
  </si>
  <si>
    <t>4 - Likely</t>
  </si>
  <si>
    <t>3 - Possible</t>
  </si>
  <si>
    <t>2 - Unlikely</t>
  </si>
  <si>
    <t>1 - Rare</t>
  </si>
  <si>
    <r>
      <t xml:space="preserve">Risk Treatment Owner
</t>
    </r>
    <r>
      <rPr>
        <i/>
        <sz val="9"/>
        <rFont val="Open Sans"/>
        <family val="2"/>
      </rPr>
      <t xml:space="preserve"> </t>
    </r>
  </si>
  <si>
    <r>
      <t>Implementation Status</t>
    </r>
    <r>
      <rPr>
        <sz val="11"/>
        <rFont val="Open Sans"/>
        <family val="2"/>
      </rPr>
      <t xml:space="preserve">                 </t>
    </r>
  </si>
  <si>
    <t>Karthik MD</t>
  </si>
  <si>
    <t>Kirat Kaur Bhatia</t>
  </si>
  <si>
    <t>Kunal Chakraborty</t>
  </si>
  <si>
    <t>M Abhishek</t>
  </si>
  <si>
    <t>Madhur Gupta</t>
  </si>
  <si>
    <t>Aviral Bajpei</t>
  </si>
  <si>
    <t>Garvit Saraswat</t>
  </si>
  <si>
    <t>B</t>
  </si>
  <si>
    <t>LIKELIHOOD RATING</t>
  </si>
  <si>
    <t>IMPACT RATING</t>
  </si>
  <si>
    <t>RISK RATING</t>
  </si>
  <si>
    <r>
      <t xml:space="preserve">(1) Motivation of Threat Source: </t>
    </r>
    <r>
      <rPr>
        <b/>
        <sz val="11"/>
        <rFont val="Open Sans"/>
      </rPr>
      <t>Extremely High</t>
    </r>
    <r>
      <rPr>
        <sz val="11"/>
        <rFont val="Open Sans"/>
        <family val="2"/>
      </rPr>
      <t xml:space="preserve"> –
</t>
    </r>
    <r>
      <rPr>
        <i/>
        <sz val="11"/>
        <rFont val="Open Sans"/>
      </rPr>
      <t>financially/criminally driven, persistant incentive.</t>
    </r>
    <r>
      <rPr>
        <sz val="11"/>
        <rFont val="Open Sans"/>
        <family val="2"/>
      </rPr>
      <t xml:space="preserve">
(2) Capability of Threat Source: </t>
    </r>
    <r>
      <rPr>
        <b/>
        <sz val="11"/>
        <rFont val="Open Sans"/>
      </rPr>
      <t>Highly Capable</t>
    </r>
    <r>
      <rPr>
        <sz val="11"/>
        <rFont val="Open Sans"/>
        <family val="2"/>
      </rPr>
      <t xml:space="preserve"> -
</t>
    </r>
    <r>
      <rPr>
        <i/>
        <sz val="11"/>
        <rFont val="Open Sans"/>
      </rPr>
      <t>Well-resourced and highly skilled (Maybe organized groups with proven ability to bypass defenses).</t>
    </r>
    <r>
      <rPr>
        <sz val="11"/>
        <rFont val="Open Sans"/>
        <family val="2"/>
      </rPr>
      <t xml:space="preserve">
(3) Effectiveness of Controls: </t>
    </r>
    <r>
      <rPr>
        <b/>
        <sz val="11"/>
        <rFont val="Open Sans"/>
      </rPr>
      <t>Absent or wholly ineffective</t>
    </r>
    <r>
      <rPr>
        <sz val="11"/>
        <rFont val="Open Sans"/>
        <family val="2"/>
      </rPr>
      <t xml:space="preserve"> –
</t>
    </r>
    <r>
      <rPr>
        <i/>
        <sz val="11"/>
        <rFont val="Open Sans"/>
      </rPr>
      <t>attack success is very likely.</t>
    </r>
    <r>
      <rPr>
        <sz val="11"/>
        <rFont val="Open Sans"/>
        <family val="2"/>
      </rPr>
      <t xml:space="preserve">
(4) Frequency of Occurance: </t>
    </r>
    <r>
      <rPr>
        <b/>
        <sz val="11"/>
        <rFont val="Open Sans"/>
      </rPr>
      <t>Might occur frequently</t>
    </r>
    <r>
      <rPr>
        <sz val="11"/>
        <rFont val="Open Sans"/>
        <family val="2"/>
      </rPr>
      <t xml:space="preserve"> -
</t>
    </r>
    <r>
      <rPr>
        <i/>
        <sz val="11"/>
        <rFont val="Open Sans"/>
      </rPr>
      <t>Expected monthly or more often; multiple incidents across regions each year.</t>
    </r>
  </si>
  <si>
    <r>
      <t xml:space="preserve">(1) Motivation of Threat Source: </t>
    </r>
    <r>
      <rPr>
        <b/>
        <sz val="11"/>
        <rFont val="Open Sans"/>
      </rPr>
      <t xml:space="preserve">High to Very High – 
</t>
    </r>
    <r>
      <rPr>
        <i/>
        <sz val="11"/>
        <rFont val="Open Sans"/>
      </rPr>
      <t>strong incentive, sustained interest.</t>
    </r>
    <r>
      <rPr>
        <sz val="11"/>
        <rFont val="Open Sans"/>
        <family val="2"/>
      </rPr>
      <t xml:space="preserve">
(2) Capability of Threat Source: </t>
    </r>
    <r>
      <rPr>
        <b/>
        <sz val="11"/>
        <rFont val="Open Sans"/>
      </rPr>
      <t xml:space="preserve">Capable to Highly Capable –
</t>
    </r>
    <r>
      <rPr>
        <i/>
        <sz val="11"/>
        <rFont val="Open Sans"/>
      </rPr>
      <t>has tools/skills readily available.</t>
    </r>
    <r>
      <rPr>
        <sz val="11"/>
        <rFont val="Open Sans"/>
        <family val="2"/>
      </rPr>
      <t xml:space="preserve">
(3) Effectiveness of Controls: </t>
    </r>
    <r>
      <rPr>
        <b/>
        <sz val="11"/>
        <rFont val="Open Sans"/>
      </rPr>
      <t xml:space="preserve">Partially effective – 
</t>
    </r>
    <r>
      <rPr>
        <i/>
        <sz val="11"/>
        <rFont val="Open Sans"/>
      </rPr>
      <t>may slow or detect, but often bypassed.</t>
    </r>
    <r>
      <rPr>
        <sz val="11"/>
        <rFont val="Open Sans"/>
        <family val="2"/>
      </rPr>
      <t xml:space="preserve">
(4) Frequency of Occurance: </t>
    </r>
    <r>
      <rPr>
        <b/>
        <sz val="11"/>
        <rFont val="Open Sans"/>
      </rPr>
      <t xml:space="preserve">Might occur periodically - 
</t>
    </r>
    <r>
      <rPr>
        <i/>
        <sz val="11"/>
        <rFont val="Open Sans"/>
      </rPr>
      <t>Expected once or a few times a year in a given environment.</t>
    </r>
  </si>
  <si>
    <r>
      <t xml:space="preserve">(1) Motivation of Threat Source: </t>
    </r>
    <r>
      <rPr>
        <b/>
        <sz val="11"/>
        <rFont val="Open Sans"/>
      </rPr>
      <t xml:space="preserve">Moderate to High –
</t>
    </r>
    <r>
      <rPr>
        <i/>
        <sz val="11"/>
        <rFont val="Open Sans"/>
      </rPr>
      <t>situational or opportunistic.</t>
    </r>
    <r>
      <rPr>
        <sz val="11"/>
        <rFont val="Open Sans"/>
        <family val="2"/>
      </rPr>
      <t xml:space="preserve">
(2) Capability of Threat Source: </t>
    </r>
    <r>
      <rPr>
        <b/>
        <sz val="11"/>
        <rFont val="Open Sans"/>
      </rPr>
      <t xml:space="preserve">Moderate to Capable – 
</t>
    </r>
    <r>
      <rPr>
        <i/>
        <sz val="11"/>
        <rFont val="Open Sans"/>
      </rPr>
      <t>enough tools/skills to succeed if conditions are favorable.</t>
    </r>
    <r>
      <rPr>
        <sz val="11"/>
        <rFont val="Open Sans"/>
        <family val="2"/>
      </rPr>
      <t xml:space="preserve">
(3) Effectiveness of Controls: </t>
    </r>
    <r>
      <rPr>
        <b/>
        <sz val="11"/>
        <rFont val="Open Sans"/>
      </rPr>
      <t xml:space="preserve">Reasonably effective – 
</t>
    </r>
    <r>
      <rPr>
        <i/>
        <sz val="11"/>
        <rFont val="Open Sans"/>
      </rPr>
      <t>impedes success, but some gaps exist.</t>
    </r>
    <r>
      <rPr>
        <sz val="11"/>
        <rFont val="Open Sans"/>
        <family val="2"/>
      </rPr>
      <t xml:space="preserve">
(4) Frequency of Occurance: </t>
    </r>
    <r>
      <rPr>
        <b/>
        <sz val="11"/>
        <rFont val="Open Sans"/>
      </rPr>
      <t xml:space="preserve">Might Occur occasionally -
</t>
    </r>
    <r>
      <rPr>
        <sz val="11"/>
        <rFont val="Open Sans"/>
      </rPr>
      <t>Expected once every 1–3 years.</t>
    </r>
  </si>
  <si>
    <r>
      <t xml:space="preserve">(1) Motivation of Threat Source:  </t>
    </r>
    <r>
      <rPr>
        <b/>
        <sz val="11"/>
        <rFont val="Open Sans"/>
      </rPr>
      <t xml:space="preserve">Low to Moderate – 
</t>
    </r>
    <r>
      <rPr>
        <i/>
        <sz val="11"/>
        <rFont val="Open Sans"/>
      </rPr>
      <t>limited or sporadic incentive.</t>
    </r>
    <r>
      <rPr>
        <sz val="11"/>
        <rFont val="Open Sans"/>
        <family val="2"/>
      </rPr>
      <t xml:space="preserve">
(2) Capability of Threat Source: </t>
    </r>
    <r>
      <rPr>
        <b/>
        <sz val="11"/>
        <rFont val="Open Sans"/>
      </rPr>
      <t xml:space="preserve">Limited to Moderate – 
</t>
    </r>
    <r>
      <rPr>
        <i/>
        <sz val="11"/>
        <rFont val="Open Sans"/>
      </rPr>
      <t>lacks full expertise, but may try basic exploits .</t>
    </r>
    <r>
      <rPr>
        <sz val="11"/>
        <rFont val="Open Sans"/>
        <family val="2"/>
      </rPr>
      <t xml:space="preserve">
(3) Effectiveness of Controls: </t>
    </r>
    <r>
      <rPr>
        <b/>
        <sz val="11"/>
        <rFont val="Open Sans"/>
      </rPr>
      <t xml:space="preserve">Generally effective and reliable, though not foolproof – 
</t>
    </r>
    <r>
      <rPr>
        <i/>
        <sz val="11"/>
        <rFont val="Open Sans"/>
      </rPr>
      <t>residual vulnerabilities could be exploited.</t>
    </r>
    <r>
      <rPr>
        <sz val="11"/>
        <rFont val="Open Sans"/>
        <family val="2"/>
      </rPr>
      <t xml:space="preserve">
(4) Frequency of Occurance: </t>
    </r>
    <r>
      <rPr>
        <b/>
        <sz val="11"/>
        <rFont val="Open Sans"/>
      </rPr>
      <t xml:space="preserve">Might occur rarely - 
</t>
    </r>
    <r>
      <rPr>
        <i/>
        <sz val="11"/>
        <rFont val="Open Sans"/>
      </rPr>
      <t xml:space="preserve">Expected once every 3–10 years. </t>
    </r>
  </si>
  <si>
    <r>
      <t xml:space="preserve">(1) Motivation of Threat Source: </t>
    </r>
    <r>
      <rPr>
        <b/>
        <sz val="11"/>
        <rFont val="Open Sans"/>
      </rPr>
      <t xml:space="preserve">Negligible/Lack of to Low – 
</t>
    </r>
    <r>
      <rPr>
        <i/>
        <sz val="11"/>
        <rFont val="Open Sans"/>
      </rPr>
      <t>no real incentive.</t>
    </r>
    <r>
      <rPr>
        <sz val="11"/>
        <rFont val="Open Sans"/>
        <family val="2"/>
      </rPr>
      <t xml:space="preserve">
(2) Capability of Threat Source: </t>
    </r>
    <r>
      <rPr>
        <b/>
        <sz val="11"/>
        <rFont val="Open Sans"/>
      </rPr>
      <t xml:space="preserve">Insufficient – 
</t>
    </r>
    <r>
      <rPr>
        <i/>
        <sz val="11"/>
        <rFont val="Open Sans"/>
      </rPr>
      <t>lacks tools, knowledge, or access.</t>
    </r>
    <r>
      <rPr>
        <sz val="11"/>
        <rFont val="Open Sans"/>
        <family val="2"/>
      </rPr>
      <t xml:space="preserve">
(3) Effectiveness of Controls: </t>
    </r>
    <r>
      <rPr>
        <b/>
        <sz val="11"/>
        <rFont val="Open Sans"/>
      </rPr>
      <t>Very strong and layered</t>
    </r>
    <r>
      <rPr>
        <sz val="11"/>
        <rFont val="Open Sans"/>
        <family val="2"/>
      </rPr>
      <t xml:space="preserve"> – 
</t>
    </r>
    <r>
      <rPr>
        <i/>
        <sz val="11"/>
        <rFont val="Open Sans"/>
      </rPr>
      <t>success is highly improbable.</t>
    </r>
    <r>
      <rPr>
        <sz val="11"/>
        <rFont val="Open Sans"/>
        <family val="2"/>
      </rPr>
      <t xml:space="preserve">
(4) Frequency of Occurance: </t>
    </r>
    <r>
      <rPr>
        <b/>
        <sz val="11"/>
        <rFont val="Open Sans"/>
      </rPr>
      <t xml:space="preserve">Might occur extremely rarely  or unprecedented </t>
    </r>
    <r>
      <rPr>
        <sz val="11"/>
        <rFont val="Open Sans"/>
        <family val="2"/>
      </rPr>
      <t xml:space="preserve">- 
</t>
    </r>
    <r>
      <rPr>
        <i/>
        <sz val="11"/>
        <rFont val="Open Sans"/>
      </rPr>
      <t>once in 10+ years, if ever.</t>
    </r>
  </si>
  <si>
    <r>
      <t xml:space="preserve">• </t>
    </r>
    <r>
      <rPr>
        <b/>
        <sz val="11"/>
        <color theme="1"/>
        <rFont val="Calibri"/>
        <family val="2"/>
        <scheme val="minor"/>
      </rPr>
      <t>Quantitative Expected Loss:</t>
    </r>
    <r>
      <rPr>
        <sz val="11"/>
        <color theme="1"/>
        <rFont val="Calibri"/>
        <family val="2"/>
        <scheme val="minor"/>
      </rPr>
      <t xml:space="preserve"> Greater than ₹50 Cr, including large-scale fraud or settlement losses. 
• </t>
    </r>
    <r>
      <rPr>
        <b/>
        <sz val="11"/>
        <color theme="1"/>
        <rFont val="Calibri"/>
        <family val="2"/>
        <scheme val="minor"/>
      </rPr>
      <t>Operational Impact:</t>
    </r>
    <r>
      <rPr>
        <sz val="11"/>
        <color theme="1"/>
        <rFont val="Calibri"/>
        <family val="2"/>
        <scheme val="minor"/>
      </rPr>
      <t xml:space="preserve"> Prolonged outage lasting more than 7 days, leading to systemic disruption. 
• </t>
    </r>
    <r>
      <rPr>
        <b/>
        <sz val="11"/>
        <color theme="1"/>
        <rFont val="Calibri"/>
        <family val="2"/>
        <scheme val="minor"/>
      </rPr>
      <t>Compliance:</t>
    </r>
    <r>
      <rPr>
        <sz val="11"/>
        <color theme="1"/>
        <rFont val="Calibri"/>
        <family val="2"/>
        <scheme val="minor"/>
      </rPr>
      <t xml:space="preserve"> Heavy penalties or potential suspension of services by regulators.</t>
    </r>
  </si>
  <si>
    <r>
      <t xml:space="preserve">• </t>
    </r>
    <r>
      <rPr>
        <b/>
        <sz val="11"/>
        <color theme="1"/>
        <rFont val="Calibri"/>
        <family val="2"/>
        <scheme val="minor"/>
      </rPr>
      <t>Quantitative Expected Loss:</t>
    </r>
    <r>
      <rPr>
        <sz val="11"/>
        <color theme="1"/>
        <rFont val="Calibri"/>
        <family val="2"/>
        <scheme val="minor"/>
      </rPr>
      <t xml:space="preserve"> Between ₹10–50 Cr from fraud, outages, or penalties. 
• </t>
    </r>
    <r>
      <rPr>
        <b/>
        <sz val="11"/>
        <color theme="1"/>
        <rFont val="Calibri"/>
        <family val="2"/>
        <scheme val="minor"/>
      </rPr>
      <t>Operational Impact:</t>
    </r>
    <r>
      <rPr>
        <sz val="11"/>
        <color theme="1"/>
        <rFont val="Calibri"/>
        <family val="2"/>
        <scheme val="minor"/>
      </rPr>
      <t xml:space="preserve"> Multi-day outage (3–7 days) causing significant financial disruption. 
• </t>
    </r>
    <r>
      <rPr>
        <b/>
        <sz val="11"/>
        <color theme="1"/>
        <rFont val="Calibri"/>
        <family val="2"/>
        <scheme val="minor"/>
      </rPr>
      <t>Compliance:</t>
    </r>
    <r>
      <rPr>
        <sz val="11"/>
        <color theme="1"/>
        <rFont val="Calibri"/>
        <family val="2"/>
        <scheme val="minor"/>
      </rPr>
      <t xml:space="preserve"> Significant penalties and mandated corrective actions from regulators.</t>
    </r>
  </si>
  <si>
    <r>
      <t xml:space="preserve">• </t>
    </r>
    <r>
      <rPr>
        <b/>
        <sz val="11"/>
        <color theme="1"/>
        <rFont val="Calibri"/>
        <family val="2"/>
        <scheme val="minor"/>
      </rPr>
      <t>Quantitative Expected Loss:</t>
    </r>
    <r>
      <rPr>
        <sz val="11"/>
        <color theme="1"/>
        <rFont val="Calibri"/>
        <family val="2"/>
        <scheme val="minor"/>
      </rPr>
      <t xml:space="preserve"> Between ₹1–10 Cr, with manageable but material consequences. 
• </t>
    </r>
    <r>
      <rPr>
        <b/>
        <sz val="11"/>
        <color theme="1"/>
        <rFont val="Calibri"/>
        <family val="2"/>
        <scheme val="minor"/>
      </rPr>
      <t>Operational Impact:</t>
    </r>
    <r>
      <rPr>
        <sz val="11"/>
        <color theme="1"/>
        <rFont val="Calibri"/>
        <family val="2"/>
        <scheme val="minor"/>
      </rPr>
      <t xml:space="preserve"> Short outage of 1–2 days, creating regional or limited disruption. 
• </t>
    </r>
    <r>
      <rPr>
        <b/>
        <sz val="11"/>
        <color theme="1"/>
        <rFont val="Calibri"/>
        <family val="2"/>
        <scheme val="minor"/>
      </rPr>
      <t>Compliance:</t>
    </r>
    <r>
      <rPr>
        <sz val="11"/>
        <color theme="1"/>
        <rFont val="Calibri"/>
        <family val="2"/>
        <scheme val="minor"/>
      </rPr>
      <t xml:space="preserve"> Moderate penalties such as fines or formal warnings.</t>
    </r>
  </si>
  <si>
    <r>
      <t xml:space="preserve">• </t>
    </r>
    <r>
      <rPr>
        <b/>
        <sz val="11"/>
        <color theme="1"/>
        <rFont val="Calibri"/>
        <family val="2"/>
        <scheme val="minor"/>
      </rPr>
      <t>Customer Impact:</t>
    </r>
    <r>
      <rPr>
        <sz val="11"/>
        <color theme="1"/>
        <rFont val="Calibri"/>
        <family val="2"/>
        <scheme val="minor"/>
      </rPr>
      <t xml:space="preserve"> Widespread harm, with thousands unable to access funds or suffering severe losses. 
• </t>
    </r>
    <r>
      <rPr>
        <b/>
        <sz val="11"/>
        <color theme="1"/>
        <rFont val="Calibri"/>
        <family val="2"/>
        <scheme val="minor"/>
      </rPr>
      <t>Employee Impact:</t>
    </r>
    <r>
      <rPr>
        <sz val="11"/>
        <color theme="1"/>
        <rFont val="Calibri"/>
        <family val="2"/>
        <scheme val="minor"/>
      </rPr>
      <t xml:space="preserve"> Severe consequences such as mass accountability, disciplinary action, or morale collapse.</t>
    </r>
  </si>
  <si>
    <r>
      <t xml:space="preserve">• </t>
    </r>
    <r>
      <rPr>
        <b/>
        <sz val="11"/>
        <color theme="1"/>
        <rFont val="Calibri"/>
        <family val="2"/>
        <scheme val="minor"/>
      </rPr>
      <t>Customer Trust:</t>
    </r>
    <r>
      <rPr>
        <sz val="11"/>
        <color theme="1"/>
        <rFont val="Calibri"/>
        <family val="2"/>
        <scheme val="minor"/>
      </rPr>
      <t xml:space="preserve"> Long-term erosion of public confidence, highly difficult to rebuild. 
• </t>
    </r>
    <r>
      <rPr>
        <b/>
        <sz val="11"/>
        <color theme="1"/>
        <rFont val="Calibri"/>
        <family val="2"/>
        <scheme val="minor"/>
      </rPr>
      <t>Client/Partner Trust:</t>
    </r>
    <r>
      <rPr>
        <sz val="11"/>
        <color theme="1"/>
        <rFont val="Calibri"/>
        <family val="2"/>
        <scheme val="minor"/>
      </rPr>
      <t xml:space="preserve"> Major withdrawal of business clients or partners due to loss of confidence. 
• </t>
    </r>
    <r>
      <rPr>
        <b/>
        <sz val="11"/>
        <color theme="1"/>
        <rFont val="Calibri"/>
        <family val="2"/>
        <scheme val="minor"/>
      </rPr>
      <t>Regulatory Standing:</t>
    </r>
    <r>
      <rPr>
        <sz val="11"/>
        <color theme="1"/>
        <rFont val="Calibri"/>
        <family val="2"/>
        <scheme val="minor"/>
      </rPr>
      <t xml:space="preserve"> Severe intervention such as investigations, restrictions, or license suspensions.</t>
    </r>
  </si>
  <si>
    <r>
      <t xml:space="preserve">• </t>
    </r>
    <r>
      <rPr>
        <b/>
        <sz val="11"/>
        <color theme="1"/>
        <rFont val="Calibri"/>
        <family val="2"/>
        <scheme val="minor"/>
      </rPr>
      <t>Customer Impact:</t>
    </r>
    <r>
      <rPr>
        <sz val="11"/>
        <color theme="1"/>
        <rFont val="Calibri"/>
        <family val="2"/>
        <scheme val="minor"/>
      </rPr>
      <t xml:space="preserve"> Large number of customers unable to transact or facing financial distress. 
• </t>
    </r>
    <r>
      <rPr>
        <b/>
        <sz val="11"/>
        <color theme="1"/>
        <rFont val="Calibri"/>
        <family val="2"/>
        <scheme val="minor"/>
      </rPr>
      <t>Employee Impact:</t>
    </r>
    <r>
      <rPr>
        <sz val="11"/>
        <color theme="1"/>
        <rFont val="Calibri"/>
        <family val="2"/>
        <scheme val="minor"/>
      </rPr>
      <t xml:space="preserve"> Significant stress, investigations, and reputational harm internally.</t>
    </r>
  </si>
  <si>
    <r>
      <t xml:space="preserve">• </t>
    </r>
    <r>
      <rPr>
        <b/>
        <sz val="11"/>
        <color theme="1"/>
        <rFont val="Calibri"/>
        <family val="2"/>
        <scheme val="minor"/>
      </rPr>
      <t>Customer Trust:</t>
    </r>
    <r>
      <rPr>
        <sz val="11"/>
        <color theme="1"/>
        <rFont val="Calibri"/>
        <family val="2"/>
        <scheme val="minor"/>
      </rPr>
      <t xml:space="preserve"> Sustained damage, requiring major effort to restore confidence. 
• </t>
    </r>
    <r>
      <rPr>
        <b/>
        <sz val="11"/>
        <color theme="1"/>
        <rFont val="Calibri"/>
        <family val="2"/>
        <scheme val="minor"/>
      </rPr>
      <t>Client/Partner Trust:</t>
    </r>
    <r>
      <rPr>
        <sz val="11"/>
        <color theme="1"/>
        <rFont val="Calibri"/>
        <family val="2"/>
        <scheme val="minor"/>
      </rPr>
      <t xml:space="preserve"> Reduced confidence among partner institutions or merchants. 
• </t>
    </r>
    <r>
      <rPr>
        <b/>
        <sz val="11"/>
        <color theme="1"/>
        <rFont val="Calibri"/>
        <family val="2"/>
        <scheme val="minor"/>
      </rPr>
      <t>Regulatory Standing:</t>
    </r>
    <r>
      <rPr>
        <sz val="11"/>
        <color theme="1"/>
        <rFont val="Calibri"/>
        <family val="2"/>
        <scheme val="minor"/>
      </rPr>
      <t xml:space="preserve"> Restrictions imposed, such as limits on new business activities.</t>
    </r>
  </si>
  <si>
    <r>
      <t xml:space="preserve">• </t>
    </r>
    <r>
      <rPr>
        <b/>
        <sz val="11"/>
        <color theme="1"/>
        <rFont val="Calibri"/>
        <family val="2"/>
        <scheme val="minor"/>
      </rPr>
      <t>Customer Impact:</t>
    </r>
    <r>
      <rPr>
        <sz val="11"/>
        <color theme="1"/>
        <rFont val="Calibri"/>
        <family val="2"/>
        <scheme val="minor"/>
      </rPr>
      <t xml:space="preserve"> Moderate number of customers affected, inconvenienced, or reimbursed. 
• </t>
    </r>
    <r>
      <rPr>
        <b/>
        <sz val="11"/>
        <color theme="1"/>
        <rFont val="Calibri"/>
        <family val="2"/>
        <scheme val="minor"/>
      </rPr>
      <t>Employee Impact:</t>
    </r>
    <r>
      <rPr>
        <sz val="11"/>
        <color theme="1"/>
        <rFont val="Calibri"/>
        <family val="2"/>
        <scheme val="minor"/>
      </rPr>
      <t xml:space="preserve"> Limited issues such as isolated disciplinary action or performance reviews.</t>
    </r>
  </si>
  <si>
    <r>
      <t xml:space="preserve">• </t>
    </r>
    <r>
      <rPr>
        <b/>
        <sz val="11"/>
        <color theme="1"/>
        <rFont val="Calibri"/>
        <family val="2"/>
        <scheme val="minor"/>
      </rPr>
      <t>Customer Trust:</t>
    </r>
    <r>
      <rPr>
        <sz val="11"/>
        <color theme="1"/>
        <rFont val="Calibri"/>
        <family val="2"/>
        <scheme val="minor"/>
      </rPr>
      <t xml:space="preserve"> Noticeable erosion of trust among certain segments or regions. 
• </t>
    </r>
    <r>
      <rPr>
        <b/>
        <sz val="11"/>
        <color theme="1"/>
        <rFont val="Calibri"/>
        <family val="2"/>
        <scheme val="minor"/>
      </rPr>
      <t>Client/Partner Trust:</t>
    </r>
    <r>
      <rPr>
        <sz val="11"/>
        <color theme="1"/>
        <rFont val="Calibri"/>
        <family val="2"/>
        <scheme val="minor"/>
      </rPr>
      <t xml:space="preserve"> Concerns raised by partners, requiring reassurance. 
• </t>
    </r>
    <r>
      <rPr>
        <b/>
        <sz val="11"/>
        <color theme="1"/>
        <rFont val="Calibri"/>
        <family val="2"/>
        <scheme val="minor"/>
      </rPr>
      <t>Regulatory Standing:</t>
    </r>
    <r>
      <rPr>
        <sz val="11"/>
        <color theme="1"/>
        <rFont val="Calibri"/>
        <family val="2"/>
        <scheme val="minor"/>
      </rPr>
      <t xml:space="preserve"> Warning letters or heightened oversight.</t>
    </r>
  </si>
  <si>
    <r>
      <t xml:space="preserve">• </t>
    </r>
    <r>
      <rPr>
        <b/>
        <sz val="11"/>
        <color theme="1"/>
        <rFont val="Calibri"/>
        <family val="2"/>
        <scheme val="minor"/>
      </rPr>
      <t>Quantitative Expected Loss:</t>
    </r>
    <r>
      <rPr>
        <sz val="11"/>
        <color theme="1"/>
        <rFont val="Calibri"/>
        <family val="2"/>
        <scheme val="minor"/>
      </rPr>
      <t xml:space="preserve"> Between ₹50 Lakh–1 Cr, creating low-level financial strain. 
• </t>
    </r>
    <r>
      <rPr>
        <b/>
        <sz val="11"/>
        <color theme="1"/>
        <rFont val="Calibri"/>
        <family val="2"/>
        <scheme val="minor"/>
      </rPr>
      <t>Operational Impact:</t>
    </r>
    <r>
      <rPr>
        <sz val="11"/>
        <color theme="1"/>
        <rFont val="Calibri"/>
        <family val="2"/>
        <scheme val="minor"/>
      </rPr>
      <t xml:space="preserve"> Limited outage lasting only hours, with localized impact. 
• </t>
    </r>
    <r>
      <rPr>
        <b/>
        <sz val="11"/>
        <color theme="1"/>
        <rFont val="Calibri"/>
        <family val="2"/>
        <scheme val="minor"/>
      </rPr>
      <t>Compliance:</t>
    </r>
    <r>
      <rPr>
        <sz val="11"/>
        <color theme="1"/>
        <rFont val="Calibri"/>
        <family val="2"/>
        <scheme val="minor"/>
      </rPr>
      <t xml:space="preserve"> Small penalties or minor compliance issues flagged.</t>
    </r>
  </si>
  <si>
    <r>
      <t xml:space="preserve">• </t>
    </r>
    <r>
      <rPr>
        <b/>
        <sz val="11"/>
        <color theme="1"/>
        <rFont val="Calibri"/>
        <family val="2"/>
        <scheme val="minor"/>
      </rPr>
      <t>Customer Impact:</t>
    </r>
    <r>
      <rPr>
        <sz val="11"/>
        <color theme="1"/>
        <rFont val="Calibri"/>
        <family val="2"/>
        <scheme val="minor"/>
      </rPr>
      <t xml:space="preserve"> Few customers temporarily affected with quick recovery or reimbursement. 
• </t>
    </r>
    <r>
      <rPr>
        <b/>
        <sz val="11"/>
        <color theme="1"/>
        <rFont val="Calibri"/>
        <family val="2"/>
        <scheme val="minor"/>
      </rPr>
      <t>Employee Impact:</t>
    </r>
    <r>
      <rPr>
        <sz val="11"/>
        <color theme="1"/>
        <rFont val="Calibri"/>
        <family val="2"/>
        <scheme val="minor"/>
      </rPr>
      <t xml:space="preserve"> Minimal internal consequences or workload increase.</t>
    </r>
  </si>
  <si>
    <r>
      <t xml:space="preserve">• </t>
    </r>
    <r>
      <rPr>
        <b/>
        <sz val="11"/>
        <color theme="1"/>
        <rFont val="Calibri"/>
        <family val="2"/>
        <scheme val="minor"/>
      </rPr>
      <t>Customer Trust:</t>
    </r>
    <r>
      <rPr>
        <sz val="11"/>
        <color theme="1"/>
        <rFont val="Calibri"/>
        <family val="2"/>
        <scheme val="minor"/>
      </rPr>
      <t xml:space="preserve"> Minor issues that do not materially damage confidence. 
• </t>
    </r>
    <r>
      <rPr>
        <b/>
        <sz val="11"/>
        <color theme="1"/>
        <rFont val="Calibri"/>
        <family val="2"/>
        <scheme val="minor"/>
      </rPr>
      <t>Client/Partner Trust:</t>
    </r>
    <r>
      <rPr>
        <sz val="11"/>
        <color theme="1"/>
        <rFont val="Calibri"/>
        <family val="2"/>
        <scheme val="minor"/>
      </rPr>
      <t xml:space="preserve"> Temporary concerns, quickly resolved with communication. 
• </t>
    </r>
    <r>
      <rPr>
        <b/>
        <sz val="11"/>
        <color theme="1"/>
        <rFont val="Calibri"/>
        <family val="2"/>
        <scheme val="minor"/>
      </rPr>
      <t>Regulatory Standing:</t>
    </r>
    <r>
      <rPr>
        <sz val="11"/>
        <color theme="1"/>
        <rFont val="Calibri"/>
        <family val="2"/>
        <scheme val="minor"/>
      </rPr>
      <t xml:space="preserve"> Notices issued without further consequences.</t>
    </r>
  </si>
  <si>
    <r>
      <t xml:space="preserve">• </t>
    </r>
    <r>
      <rPr>
        <b/>
        <sz val="11"/>
        <color theme="1"/>
        <rFont val="Calibri"/>
        <family val="2"/>
        <scheme val="minor"/>
      </rPr>
      <t>Quantitative Expected Loss:</t>
    </r>
    <r>
      <rPr>
        <sz val="11"/>
        <color theme="1"/>
        <rFont val="Calibri"/>
        <family val="2"/>
        <scheme val="minor"/>
      </rPr>
      <t xml:space="preserve"> Less than ₹50 Lakh, with negligible financial significance. 
• </t>
    </r>
    <r>
      <rPr>
        <b/>
        <sz val="11"/>
        <color theme="1"/>
        <rFont val="Calibri"/>
        <family val="2"/>
        <scheme val="minor"/>
      </rPr>
      <t>Operational Impact:</t>
    </r>
    <r>
      <rPr>
        <sz val="11"/>
        <color theme="1"/>
        <rFont val="Calibri"/>
        <family val="2"/>
        <scheme val="minor"/>
      </rPr>
      <t xml:space="preserve"> Negligible or no outage, with uninterrupted operations. 
• </t>
    </r>
    <r>
      <rPr>
        <b/>
        <sz val="11"/>
        <color theme="1"/>
        <rFont val="Calibri"/>
        <family val="2"/>
        <scheme val="minor"/>
      </rPr>
      <t>Compliance:</t>
    </r>
    <r>
      <rPr>
        <sz val="11"/>
        <color theme="1"/>
        <rFont val="Calibri"/>
        <family val="2"/>
        <scheme val="minor"/>
      </rPr>
      <t xml:space="preserve"> No penalties or compliance concerns.</t>
    </r>
  </si>
  <si>
    <r>
      <t xml:space="preserve">• </t>
    </r>
    <r>
      <rPr>
        <b/>
        <sz val="11"/>
        <color theme="1"/>
        <rFont val="Calibri"/>
        <family val="2"/>
        <scheme val="minor"/>
      </rPr>
      <t>Customer Impact:</t>
    </r>
    <r>
      <rPr>
        <sz val="11"/>
        <color theme="1"/>
        <rFont val="Calibri"/>
        <family val="2"/>
        <scheme val="minor"/>
      </rPr>
      <t xml:space="preserve"> No meaningful harm; only minor inconvenience possible. 
• </t>
    </r>
    <r>
      <rPr>
        <b/>
        <sz val="11"/>
        <color theme="1"/>
        <rFont val="Calibri"/>
        <family val="2"/>
        <scheme val="minor"/>
      </rPr>
      <t>Employee Impact:</t>
    </r>
    <r>
      <rPr>
        <sz val="11"/>
        <color theme="1"/>
        <rFont val="Calibri"/>
        <family val="2"/>
        <scheme val="minor"/>
      </rPr>
      <t xml:space="preserve"> Negligible impact on workload or morale.</t>
    </r>
  </si>
  <si>
    <r>
      <t xml:space="preserve">• </t>
    </r>
    <r>
      <rPr>
        <b/>
        <sz val="11"/>
        <color theme="1"/>
        <rFont val="Calibri"/>
        <family val="2"/>
        <scheme val="minor"/>
      </rPr>
      <t>Customer Trust:</t>
    </r>
    <r>
      <rPr>
        <sz val="11"/>
        <color theme="1"/>
        <rFont val="Calibri"/>
        <family val="2"/>
        <scheme val="minor"/>
      </rPr>
      <t xml:space="preserve"> No significant loss of trust or reputation. 
• </t>
    </r>
    <r>
      <rPr>
        <b/>
        <sz val="11"/>
        <color theme="1"/>
        <rFont val="Calibri"/>
        <family val="2"/>
        <scheme val="minor"/>
      </rPr>
      <t>Client/Partner Trust:</t>
    </r>
    <r>
      <rPr>
        <sz val="11"/>
        <color theme="1"/>
        <rFont val="Calibri"/>
        <family val="2"/>
        <scheme val="minor"/>
      </rPr>
      <t xml:space="preserve"> No concerns raised by business partners or institutions. 
• </t>
    </r>
    <r>
      <rPr>
        <b/>
        <sz val="11"/>
        <color theme="1"/>
        <rFont val="Calibri"/>
        <family val="2"/>
        <scheme val="minor"/>
      </rPr>
      <t>Regulatory Standing:</t>
    </r>
    <r>
      <rPr>
        <sz val="11"/>
        <color theme="1"/>
        <rFont val="Calibri"/>
        <family val="2"/>
        <scheme val="minor"/>
      </rPr>
      <t xml:space="preserve"> No involvement from regulators.</t>
    </r>
  </si>
  <si>
    <t>ATM Network and Card Payment System</t>
  </si>
  <si>
    <t>#</t>
  </si>
  <si>
    <t>Overall Risk Rating (1-25)</t>
  </si>
  <si>
    <t>3 - Moderate</t>
  </si>
  <si>
    <t>Fraudsters fit skimming devices and false keypads to ATMs to obtain card and PIN information.</t>
  </si>
  <si>
    <t>Lacking strong kiosk security, no tamper-proof card slots, ineffective surveillance of remote ATMs.</t>
  </si>
  <si>
    <t>Confidentiality: Data of the cardholder stolen.
Integrity: Fraud withdrawals.
Availability: ATM can be put offline when being investigated.</t>
  </si>
  <si>
    <t>Attackers monitor ATM communication with the central switch of the bank in order to steal sensitive customer information (card details, PINs, balances).</t>
  </si>
  <si>
    <t>Other ATM implementations have old or ineffective encryption (old versions of TLS/SSL, VPN misconfigurations).
Absence of certificate pinning, and insecure communication protocols enforcement.</t>
  </si>
  <si>
    <t>Security: Hacked cardholder information and PINs.
Integrity: There is a possibility of data being manipulated during transit of transactions.
Availability: Traffic attack will result in service failure.</t>
  </si>
  <si>
    <t>The hackers take advantage of the new or previously unknown vulnerabilities in the ATM operating systems or supporting software, before the patches are created and implemented.</t>
  </si>
  <si>
    <t>Weak patch management process- patches are not applied or delayed.
High number of ATM fleet, most with legacy or non-supported operating systems.
Weak threat intelligence integration to attack in advance.</t>
  </si>
  <si>
    <t>Confidentiality: Hackers will have access to sensitive ATM or transaction information.
Integrity: Withdrawals that are not authorized, distortion of balances or even fraud.
Availability: ATM services can be crashed by exploits which results in downtime.</t>
  </si>
  <si>
    <t>The failure of the single Internet Service Provider (ISP) linking ATMs to the central systems of the bank leads to the unavailability of ATM services.</t>
  </si>
  <si>
    <t>Relying on a single ISP.
None of the automatic failover systems.
Absence of redundant communication channels (e.g.,4G/Satellite backup).</t>
  </si>
  <si>
    <t>Availability: ATMs that fail to process the transactions during outage.
Integrity: No direct effects.
Confidentiality: There is no direct effect.</t>
  </si>
  <si>
    <t>Attackers bombard the ATM network communication channels with high traffic, blocking systems and disrupting the service.</t>
  </si>
  <si>
    <t>Absence of Intrusion Detection/ Prevention Systems (IDS/IPS).
The firewalls only have basic access rules and not traffic anomaly detection.
None of the ISP or third-party dedicated DDoS protection service.</t>
  </si>
  <si>
    <t>Absence of Intrusion Detection/ Prevention Systems (IDS/IPS).
The firewalls only have basic access rules and not traffic anomaly detection.
None of the ISP or third-party dedicated DDoS protection service..</t>
  </si>
  <si>
    <t>Without being detected in time, attackers/insiders make unauthorized withdrawals using stolen, cloned, or compromised credentials/cards.</t>
  </si>
  <si>
    <t>Absence of real time monitoring of abnormal withdrawal activity.
Inconclusive association of ATM transactions and fraud detection system.
Daily batch, as opposed to real-time, alerts.</t>
  </si>
  <si>
    <t>Integrity: Fraud takes away transactional trust.
Confidentiality: Loss of customer account security.
Availability: ATM can be disabled following fraud cases, which impacts customer service.</t>
  </si>
  <si>
    <t>The criminals steal or destroy the whole ATM machine to have a direct access to the cash vault or make brute force attacks to the safe.</t>
  </si>
  <si>
    <t>ATMs located in remote and unattended places.
Poor physical anchoring (e.g. not screwed on the floor).</t>
  </si>
  <si>
    <t>Availability: ATM is out of circulation until it is replaced/repaired.
Integrity: The manipulation might harm transaction logs and sensors.
Confidentiality: Low, unless the storage devices in the ATM are accessed.</t>
  </si>
  <si>
    <t>Local or regional blackouts cause ATM services to go off, particularly where there are no local or regional power blacks.</t>
  </si>
  <si>
    <t>Many ATMs do not have the Uninterruptible Power Supply (UPS).
No backup of generators to branch/ATM kiosks.</t>
  </si>
  <si>
    <t>Availability: Atms become offline and the customers are denied the access to cash.
Integrity: The transaction logs can be partial when the ATM breaks down in between transactions.
Confidentiality: The confidentiality is not directly affected.</t>
  </si>
  <si>
    <t>Card trapping: the scammers install machines (or employ methods) that hold the ATM card of a customer within the reader (card capture). The attacker then obtains the trapped card later or applies distraction / social engineering techniques to obtain the PIN of the customer and conduct fraudulent transactions.</t>
  </si>
  <si>
    <t>The design of ATM card reader enables easy storage of thin traps/ devices.
None of the useful sensors to detect foreign objects or card retention.
Untrained employees and clients who do not know how cards trap.
Lack of real time alerts in case of retained or jammed card.</t>
  </si>
  <si>
    <t>Confidentiality: Card information and PIN can be revealed in case of coercion and social-engineering of customer.
Integrity: Fraudulent transactions can be carried out using card after retrieving it.
Availability: ATM is unavailable to the customer temporarily; the machine can be put offline to be checked/repaired.</t>
  </si>
  <si>
    <t>Fraud Attackers can use vulnerabilities in the integration between the mobile bank application and ATM services (e.g., cardless cash, mobile-to-ATM withdrawal APIs, or OTP synchronization) to carry out fraudulent transactions, replay attacks, or session hijacking. APIs that are weak or improperly designed, misuse of session, or lack of proper validation enable attackers to induce or authorize ATM transactions over the Internet.</t>
  </si>
  <si>
    <t>Mobile-to-ATM APIs involve poor authentication or ineffective session management.
The mobile application and ATM backends do not have strong mutual authentication (no mTLS or token binding).
Predictable OTPs / transaction tokens that can be reused and weak expiration processing.
Poor validation on the input and rate limiting of the API endpoints.
Defective logging and monitoring of ATM transactions triggered by a mobile device.</t>
  </si>
  <si>
    <t>Confidentiality: Attackers may give the mobile session tokens, OTPs or user credentials.
Integrity: Attackers might operate or approve fraudulent withdrawals without a card or manipulate the parameters of transaction.
Availability: API abuse would potentially lead to service disruption or block out users.</t>
  </si>
  <si>
    <t>Thieves obtain physical access to an ATM, attach rogue tools (e.g., by USB, serial, or network) and install malware or give orders to dispel currency (jackpotting).</t>
  </si>
  <si>
    <t>Physical ports (USB, network) that are exposed / accessible (behind or inside the ATM).
Lax port security (port not disabled).
There is no secure boot and firmware integrity checking in ATMs.
Weak physical security measures on access doors.</t>
  </si>
  <si>
    <t>Availability: The ATMs lost all the money, and had to shut down.
Integrity: Rule violations are done through unauthorized commands.
Confidentiality: Malware is also capable of extracting customer information.</t>
  </si>
  <si>
    <t>ATM that are on the ground or in basements are destroyed by heavy rains or floods and become ineffective, destroying hardware and cash stores.</t>
  </si>
  <si>
    <t>Automated Teller Machines located in flood flood-prone places.
There are no waterproofing, or raising the critical ATM parts.
Absence of disaster recovery planning in the case of natural disasters in prone areas.</t>
  </si>
  <si>
    <t>Availability: The ATM is out of service because of water or power leakage.
Integrity: Data in transactions might be corrupt in case of system failure during operation.
Confidentiality: Low, absent when the attackers retrieve physical storage mediums following damage during floods.</t>
  </si>
  <si>
    <t>When ATM cash replenishment is done, internal employees or vendor personnel are going to underreport the amount loaded and either pocket the difference or conspire to false records.</t>
  </si>
  <si>
    <t>No two person rule (no dual-control process).
Late reconciliation of the records and cash dispensed in Core Banking System (CBS).
Poor audit and control of the cash loading activities.
Low CCTV coverage in the replenishment.</t>
  </si>
  <si>
    <t>Integrity: Accounting records being altered; ATM balances altered.
Availability: ATM can lose money sooner through underloading.
Confidentiality: Not directly affected.</t>
  </si>
  <si>
    <t>Fraud or technical problems at ATM go unnoticed or delayed since there is still a lot of manual fraud detection, which can be performed daily rather than in real-time</t>
  </si>
  <si>
    <t>No automatic fraud detector system connected with ATM switch.
Daily batch reconciliation implies that fraud can remain unnoticed between 24-48 hours.
There are non-centralized logs; there is no correlation between ATM events done across channels.
Lack of enough human resource to review all the alerts and transactions manually.</t>
  </si>
  <si>
    <t>Integrity: The fraudulent transactions might not be identified early.
Availability: ATMs can be disconnected to be investigated once fraud increases.
Confidentiality: Customer information may be stolen and not monitored.</t>
  </si>
  <si>
    <t>CCTV present in select ATMs.
When the branch has high traffic, security guards are employed.
The customer is cautioned with posters against tampering.</t>
  </si>
  <si>
    <t>Most ATMs have VPN tunnels.
Certain old ATMs still send half data on less secure encryptions.
Only firewalls are able to monitor network traffic.</t>
  </si>
  <si>
    <t>Patching currently handled manually and occasionally delayed.
Antivirus solutions in place but not effective against zero-day threats.
Threat intelligence monitoring is weak.</t>
  </si>
  <si>
    <t>Bank uses a single ISP across ATM network.
Manual escalation to ISP in case of outage.
No secondary backup line.</t>
  </si>
  <si>
    <t>Firewalls are in place but limited to static filtering.
Monitoring is reactive rather than proactive.
ISP does not provide advanced DDoS mitigation currently.</t>
  </si>
  <si>
    <t>Daily reconciliation reports generated.
Customers sometimes receive SMS/email alerts for transactions.
Fraud team manually investigates flagged cases.</t>
  </si>
  <si>
    <t>ATMs bolted to floors.
Basic locks and safes installed.
Security guards present at some high-traffic branches, but not rural ATMs.</t>
  </si>
  <si>
    <t>Some ATMs in metro areas have UPS backup.
Rural ATMs often lack any backup systems.
Power outage contingency not uniformly applied across all sites.</t>
  </si>
  <si>
    <t>Some ATMs have basic sensors that detect card jams, but many older readers do not.
CCTV covers many kiosks, but video is not always monitored in real time.
Customer awareness limited to occasional posters; no proactive in-ATM messaging about card trapping.
Branch/Site maintenance teams respond to reported jams, but response time varies and there’s no automated escalation.</t>
  </si>
  <si>
    <t>Mobile app uses standard authentication (username/password + OTP) but not all APIs enforce strict token lifetimes.
Some endpoints rate-limit requests, but throttling rules are inconsistent.
No mutual TLS (mTLS) or token binding for mobile-to-backend communication in all flows.
Basic logging exists, but correlation between mobile app events and ATM transactions is limited.
Cardless withdrawal feature exists but with limited additional verification (sometimes OTP only).</t>
  </si>
  <si>
    <t>Some ATMs have plastic port covers, but they can be easily bypassed.
Antivirus installed but ineffective against custom malware.
Security guards may deter casual attackers but cannot prevent targeted jackpotting.</t>
  </si>
  <si>
    <t>Some ATMs placed on elevated platforms in urban areas.
Insurance policies cover ATM hardware damage in some contracts.
No consistent preventive measures across all flood-prone regions.</t>
  </si>
  <si>
    <t>Staff submit replenishment slips and reconciliation reports.
Cash Ops team reviews balances at end of day.
CCTV footage exists, but not consistently reviewed.
Vendor staff rotation exists, but monitoring remains weak.</t>
  </si>
  <si>
    <t>Manual reconciliation performed daily by Cash Ops.
Basic alerts for ATM downtime or suspicious withdrawal spikes.
Some fraud detection rules exist but not AI-driven and not cross-channel.</t>
  </si>
  <si>
    <t>4 - Major</t>
  </si>
  <si>
    <t>Treatment decision</t>
  </si>
  <si>
    <t>The skimming is widespread and effective. Layered controls can plausibly be able to decrease likelihoods of 4 (Likely) to 2 (Unlikely).</t>
  </si>
  <si>
    <t>ATM Operations &amp; Security Department</t>
  </si>
  <si>
    <t xml:space="preserve">In Progress </t>
  </si>
  <si>
    <t>Pending</t>
  </si>
  <si>
    <t>It is possible to have Man-in-the-Middle attack in case encryption is poor. With an upgrade to strong TLS, this risk is removed in more than 90 percent.</t>
  </si>
  <si>
    <t>Network Security &amp; Infrastructure</t>
  </si>
  <si>
    <t>Planned</t>
  </si>
  <si>
    <t>Zero-day exploits are inevitable, but reducing patch delays + adding EDR significantly lowers exposure window and impact.</t>
  </si>
  <si>
    <t>Cybersecurity &amp; Infra</t>
  </si>
  <si>
    <t>Redundant ISPs and backup connections ensure availability; this is a cost-effective, industry-standard resilience measure.</t>
  </si>
  <si>
    <t>IT Infrastructure</t>
  </si>
  <si>
    <t>A layered defense combining ISP support, IDS/IPS, and incident response reduces the impact of volumetric attacks significantly.</t>
  </si>
  <si>
    <t>SOC</t>
  </si>
  <si>
    <t>Real-time fraud monitoring reduces detection window from 24 hours â†’ minutes, lowering fraud impact drastically.</t>
  </si>
  <si>
    <t>Fraud Risk Mgmt</t>
  </si>
  <si>
    <t>In Progress</t>
  </si>
  <si>
    <t>While rare, theft of an ATM is high-impact; preventive measures reduce exposure and increase deterrence.</t>
  </si>
  <si>
    <t>Physical Security</t>
  </si>
  <si>
    <t>Outages are common and predictable; preventive backup solutions ensure ATM availability and improve customer satisfaction.</t>
  </si>
  <si>
    <t>Facilities/BCP</t>
  </si>
  <si>
    <t>Card trapping is relatively easy to carry out and can be performed at scale in poorly monitored ATMs. Technical upgrades (anti-trap readers + sensors + automated alerts) and operational changes (awareness + faster response) materially reduce both likelihood and impact.</t>
  </si>
  <si>
    <t>ATM Ops</t>
  </si>
  <si>
    <t>Mobile banking features are convenient but expand attack surface. Strengthening API auth, token handling, and transaction validation materially reduces the chance of remote fraud and replay attacks.</t>
  </si>
  <si>
    <t>Mobile Banking Team</t>
  </si>
  <si>
    <t>Jackpotting is high-likelihood and high-impact. Layered defense (physical + software + monitoring) drastically lowers success probability.</t>
  </si>
  <si>
    <t>ATM Ops + IT Security</t>
  </si>
  <si>
    <t>While natural disasters cannot be prevented, physical relocation, waterproofing, and DR planning significantly reduce downtime and financial loss.</t>
  </si>
  <si>
    <t>MonitoriFraudulent cash loading directly affects customer trust. Dual control + IoT monitoring and surprise audits drastically reduce likelihood.ng reduces insider fraud.</t>
  </si>
  <si>
    <t>Cash Ops &amp; Audit</t>
  </si>
  <si>
    <t>Manual fraud detection introduces significant delays. Automation reduces likelihood of prolonged undetected fraud and ensures early remediation.</t>
  </si>
  <si>
    <t>Fraud Risk &amp; SOC</t>
  </si>
  <si>
    <t>Install anti-skimming systems and card readers that can be tampered.
Tamper detecting AI-based CCTV analytics.
Enhance kiosk inspection.
SMS/email alerts to customers and the ATM awareness messages.</t>
  </si>
  <si>
    <t>Application TLS 1.3 encryption to all ATM-to-switch traffic.
Implement end to end card/PIN encryption.
Use certificate pinning in order to avoid spoofed certificates.
Periodically test encryption standards in use in ATM fleet.</t>
  </si>
  <si>
    <t>Implement automated patch management systems with centralized enforcement.
Subscribe to global threat intelligence feeds to detect zero-day exploits early.
Deploy Endpoint Detection &amp; Response (EDR) solutions to catch unusual activity.
Maintain incident response playbooks for rapid zero-day exploitation response</t>
  </si>
  <si>
    <t>Deploy multi-ISP strategy with automatic failover.
Configure VPN redundancy across ISPs.
Add 4G/Satellite fallback for rural or critical ATMs.
Conduct regular failover drills to ensure readiness.</t>
  </si>
  <si>
    <t>Deploy IDS/IPS solutions to detect and mitigate abnormal traffic.
Partner with ISP for cloud-based DDoS mitigation services.
Establish traffic rate limiting and geo-blocking for suspicious IPs.
Create an incident response playbook for handling large-scale DDoS attacks.</t>
  </si>
  <si>
    <t>Implement real-time fraud detection using AI/ML algorithms.
Deploy Security Information &amp; Event Management (SIEM) for ATM transaction monitoring.
Enable geolocation-based anomaly detection (e.g., impossible travel scenarios).
Automatic blocking of suspicious transactions until verified.</t>
  </si>
  <si>
    <t>Reinforce ATMs with stronger vaults and anchoring systems.
Install tamper alarms and GPS trackers in ATM safes.
Use CCTV monitoring linked to central security hub.
Collaborate with local law enforcement for rapid response in high-risk areas.</t>
  </si>
  <si>
    <t>Install UPS systems at all standalone ATMs.
Ensure branch-based ATMs connect to branch generators.
Explore solar-powered ATM kiosks in rural areas.
Update BCP/DR plans to prioritize ATM uptime.</t>
  </si>
  <si>
    <t>Install anti-trap / anti-skimming card readers that resist insertion of foreign devices and auto-eject suspicious objects.
Add card presence / obstruction sensors that trigger immediate alarm and lock the card reader to prevent retrieval by attackers.
Configure automatic alerts to the central security/SOC and branch operations when a card is retained or jammed (SMS/email/console alerts).
Enable remote disable/lockdown for an ATM when tampering is detected, preventing further transactions until safe.</t>
  </si>
  <si>
    <t>Enforce strong API authentication &amp; mutual authentication: implement mTLS or OAuth2 with short-lived tokens and token binding to the device.
Strengthen transaction authorization: require multi-factor confirmation for cardless withdrawals (e.g., device biometric + one-time code tied to device session).
Harden OTP usage: use non-replayable tokens, one-time-use transaction tokens with strict expiry (e.g., 90 seconds) and single-use enforcement.
Input validation &amp; server-side checks: validate all client parameters server-side to prevent parameter tampering or replay.</t>
  </si>
  <si>
    <t>Physically lock or disable all unused ports (USB/network/serial).
Implement secure boot and digitally signed firmware to prevent unauthorized code execution.
Install intrusion detection alarms when ATM access panels are opened.
Regularly audit ATM hardware for unauthorized devices.
Train security staff to recognize jackpotting attempts.
Deploy EDR solutions to detect unusual processes on ATM systems.</t>
  </si>
  <si>
    <t>Relocate ATMs in high-risk flood zones to elevated or safe areas.
Install waterproofing and drainage systems for kiosks.
Elevate power supplies and network equipment above ground level.
Include disaster recovery (DR) and continuity planning for ATMs in vulnerable regions.
Conduct seasonal risk assessments before monsoon periods.
Ensure insurance coverage is up-to-date for natural disasters.</t>
  </si>
  <si>
    <t>Enforce dual-control process (two authorized individuals required for cash loading).
Conduct real-time reconciliation of cash replenishment with CBS records.
Mandate CCTV recording of replenishment operations with central review.
Perform surprise audits of cash loading activities.
Deploy smart cash cassettes with IoT sensors to record exact cash movements.
Include penalty clauses in vendor contracts for discrepancies.</t>
  </si>
  <si>
    <t>Deploy real-time fraud monitoring system with AI/ML analytics.
Integrate ATM switch logs, CBS logs, and mobile/online banking into SIEM.
Create dynamic fraud detection rules (velocity checks, impossible travel, multi-channel fraud).
Train fraud teams on forensic analysis and build automated workflows for rapid case escalation.
Run fraud red-teaming simulations to test detection capability.</t>
  </si>
  <si>
    <t>Risk Mitigation (Treat)</t>
  </si>
  <si>
    <t>Risk Mitigation (Treat) + Transfer (Share/Transfer)</t>
  </si>
  <si>
    <t>5 - Severe (Catastrophe)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</si>
</sst>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6"/>
      <color theme="1"/>
      <name val="Calibri"/>
      <family val="2"/>
      <scheme val="minor"/>
    </font>
    <font>
      <sz val="11"/>
      <color theme="1"/>
      <name val="Calibri"/>
      <family val="2"/>
      <scheme val="minor"/>
    </font>
    <font>
      <sz val="12"/>
      <color theme="1"/>
      <name val="Arial"/>
      <family val="2"/>
    </font>
    <font>
      <sz val="10"/>
      <name val="Arial"/>
      <family val="2"/>
    </font>
    <font>
      <sz val="11"/>
      <name val="Open Sans"/>
      <family val="2"/>
    </font>
    <font>
      <b/>
      <sz val="14"/>
      <name val="Open Sans"/>
      <family val="2"/>
    </font>
    <font>
      <b/>
      <sz val="11"/>
      <color theme="0"/>
      <name val="Open Sans"/>
      <family val="2"/>
    </font>
    <font>
      <b/>
      <sz val="11"/>
      <name val="Open Sans"/>
      <family val="2"/>
    </font>
    <font>
      <sz val="11"/>
      <color theme="0"/>
      <name val="Open Sans"/>
      <family val="2"/>
    </font>
    <font>
      <i/>
      <sz val="9"/>
      <name val="Open Sans"/>
      <family val="2"/>
    </font>
    <font>
      <b/>
      <sz val="11"/>
      <color theme="1"/>
      <name val="Calibri"/>
      <family val="2"/>
      <scheme val="minor"/>
    </font>
    <font>
      <sz val="14"/>
      <color theme="1"/>
      <name val="Calibri"/>
      <family val="2"/>
      <scheme val="minor"/>
    </font>
    <font>
      <b/>
      <sz val="11"/>
      <name val="Open Sans"/>
    </font>
    <font>
      <i/>
      <sz val="11"/>
      <name val="Open Sans"/>
    </font>
    <font>
      <sz val="11"/>
      <name val="Open Sans"/>
    </font>
    <font>
      <b/>
      <sz val="16"/>
      <color theme="1"/>
      <name val="Calibri"/>
      <family val="2"/>
      <scheme val="minor"/>
    </font>
    <font>
      <sz val="8"/>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FFFF00"/>
        <bgColor rgb="FF000000"/>
      </patternFill>
    </fill>
    <fill>
      <patternFill patternType="solid">
        <fgColor rgb="FFFF0000"/>
        <bgColor rgb="FF000000"/>
      </patternFill>
    </fill>
    <fill>
      <patternFill patternType="solid">
        <fgColor rgb="FFFFC000"/>
        <bgColor rgb="FF000000"/>
      </patternFill>
    </fill>
    <fill>
      <patternFill patternType="solid">
        <fgColor rgb="FF00B050"/>
        <bgColor rgb="FF000000"/>
      </patternFill>
    </fill>
    <fill>
      <patternFill patternType="solid">
        <fgColor rgb="FF346C81"/>
        <bgColor indexed="64"/>
      </patternFill>
    </fill>
    <fill>
      <patternFill patternType="solid">
        <fgColor rgb="FF346C81"/>
        <bgColor rgb="FF000000"/>
      </patternFill>
    </fill>
    <fill>
      <patternFill patternType="solid">
        <fgColor theme="3" tint="0.79998168889431442"/>
        <bgColor indexed="64"/>
      </patternFill>
    </fill>
    <fill>
      <patternFill patternType="solid">
        <fgColor theme="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s>
  <cellStyleXfs count="5">
    <xf numFmtId="0" fontId="0" fillId="0" borderId="0"/>
    <xf numFmtId="0" fontId="3" fillId="0" borderId="0"/>
    <xf numFmtId="0" fontId="4" fillId="0" borderId="0"/>
    <xf numFmtId="0" fontId="2" fillId="0" borderId="0"/>
    <xf numFmtId="0" fontId="4" fillId="0" borderId="0"/>
  </cellStyleXfs>
  <cellXfs count="118">
    <xf numFmtId="0" fontId="0" fillId="0" borderId="0" xfId="0"/>
    <xf numFmtId="0" fontId="11" fillId="0" borderId="0" xfId="0" applyFont="1" applyAlignment="1">
      <alignment horizontal="center" vertical="center" wrapText="1"/>
    </xf>
    <xf numFmtId="0" fontId="8" fillId="0" borderId="19" xfId="4" applyFont="1" applyBorder="1" applyAlignment="1">
      <alignment horizontal="center" vertical="center" wrapText="1"/>
    </xf>
    <xf numFmtId="0" fontId="8" fillId="0" borderId="20" xfId="4" applyFont="1" applyBorder="1" applyAlignment="1">
      <alignment horizontal="center" vertical="center" wrapText="1"/>
    </xf>
    <xf numFmtId="0" fontId="8" fillId="0" borderId="21" xfId="4" applyFont="1" applyBorder="1" applyAlignment="1">
      <alignment horizontal="center" vertical="center" wrapText="1"/>
    </xf>
    <xf numFmtId="0" fontId="8" fillId="0" borderId="16" xfId="4" applyFont="1" applyBorder="1" applyAlignment="1">
      <alignment horizontal="center" vertical="center" wrapText="1"/>
    </xf>
    <xf numFmtId="0" fontId="8" fillId="0" borderId="17" xfId="4" applyFont="1" applyBorder="1" applyAlignment="1">
      <alignment horizontal="center" vertical="center" wrapText="1"/>
    </xf>
    <xf numFmtId="0" fontId="8" fillId="0" borderId="18" xfId="4" applyFont="1" applyBorder="1" applyAlignment="1">
      <alignment horizontal="center" vertical="center" wrapText="1"/>
    </xf>
    <xf numFmtId="0" fontId="0" fillId="0" borderId="26" xfId="0" applyBorder="1" applyAlignment="1">
      <alignment vertical="center" wrapText="1"/>
    </xf>
    <xf numFmtId="0" fontId="0" fillId="0" borderId="27"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49" fontId="5" fillId="0" borderId="16" xfId="4" applyNumberFormat="1" applyFont="1" applyBorder="1" applyAlignment="1">
      <alignment horizontal="left" vertical="center" wrapText="1"/>
    </xf>
    <xf numFmtId="0" fontId="0" fillId="0" borderId="0" xfId="0" applyAlignment="1">
      <alignment horizontal="center" vertical="center"/>
    </xf>
    <xf numFmtId="0" fontId="7" fillId="6" borderId="1" xfId="2" applyFont="1" applyFill="1" applyBorder="1" applyAlignment="1">
      <alignment horizontal="center" vertical="center" wrapText="1"/>
    </xf>
    <xf numFmtId="0" fontId="8" fillId="3" borderId="1" xfId="2" applyFont="1" applyFill="1" applyBorder="1" applyAlignment="1">
      <alignment horizontal="center" vertical="center" wrapText="1"/>
    </xf>
    <xf numFmtId="0" fontId="8" fillId="5" borderId="1" xfId="2" applyFont="1" applyFill="1" applyBorder="1" applyAlignment="1">
      <alignment horizontal="center" vertical="center" wrapText="1"/>
    </xf>
    <xf numFmtId="0" fontId="0" fillId="0" borderId="0" xfId="0" applyAlignment="1">
      <alignment horizontal="center" vertical="center" wrapText="1"/>
    </xf>
    <xf numFmtId="0" fontId="7" fillId="4" borderId="8" xfId="2" applyFont="1" applyFill="1" applyBorder="1" applyAlignment="1">
      <alignment horizontal="center" vertical="center" wrapText="1"/>
    </xf>
    <xf numFmtId="0" fontId="8" fillId="5" borderId="8" xfId="2"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6" borderId="10" xfId="2" applyFont="1" applyFill="1" applyBorder="1" applyAlignment="1">
      <alignment horizontal="center" vertical="center" wrapText="1"/>
    </xf>
    <xf numFmtId="0" fontId="8" fillId="3" borderId="10" xfId="2" applyFont="1" applyFill="1" applyBorder="1" applyAlignment="1">
      <alignment horizontal="center" vertical="center" wrapText="1"/>
    </xf>
    <xf numFmtId="0" fontId="8" fillId="3" borderId="11" xfId="2" applyFont="1" applyFill="1" applyBorder="1" applyAlignment="1">
      <alignment horizontal="center" vertical="center" wrapText="1"/>
    </xf>
    <xf numFmtId="0" fontId="7" fillId="7" borderId="4" xfId="0" applyFont="1" applyFill="1" applyBorder="1" applyAlignment="1">
      <alignment vertical="center" wrapText="1"/>
    </xf>
    <xf numFmtId="0" fontId="7" fillId="7" borderId="16"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8" fillId="3" borderId="3" xfId="2" applyFont="1" applyFill="1" applyBorder="1" applyAlignment="1">
      <alignment horizontal="center" vertical="center" wrapText="1"/>
    </xf>
    <xf numFmtId="0" fontId="8" fillId="5" borderId="3" xfId="2" applyFont="1" applyFill="1" applyBorder="1" applyAlignment="1">
      <alignment horizontal="center" vertical="center" wrapText="1"/>
    </xf>
    <xf numFmtId="0" fontId="7" fillId="4" borderId="3" xfId="2" applyFont="1" applyFill="1" applyBorder="1" applyAlignment="1">
      <alignment horizontal="center" vertical="center" wrapText="1"/>
    </xf>
    <xf numFmtId="0" fontId="7" fillId="4" borderId="15" xfId="2" applyFont="1" applyFill="1" applyBorder="1" applyAlignment="1">
      <alignment horizontal="center" vertical="center" wrapText="1"/>
    </xf>
    <xf numFmtId="0" fontId="9" fillId="8" borderId="5" xfId="2" applyFont="1" applyFill="1" applyBorder="1" applyAlignment="1">
      <alignment horizontal="center" vertical="center" wrapText="1"/>
    </xf>
    <xf numFmtId="0" fontId="9" fillId="8" borderId="6" xfId="2" applyFont="1" applyFill="1" applyBorder="1" applyAlignment="1">
      <alignment horizontal="center" vertical="center" wrapText="1"/>
    </xf>
    <xf numFmtId="0" fontId="9" fillId="8" borderId="7" xfId="2"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6" borderId="37" xfId="2" applyFont="1" applyFill="1" applyBorder="1" applyAlignment="1">
      <alignment horizontal="center" vertical="center" wrapText="1"/>
    </xf>
    <xf numFmtId="0" fontId="7" fillId="6" borderId="2" xfId="2" applyFont="1" applyFill="1" applyBorder="1" applyAlignment="1">
      <alignment horizontal="center" vertical="center" wrapText="1"/>
    </xf>
    <xf numFmtId="0" fontId="7" fillId="6" borderId="38" xfId="2" applyFont="1" applyFill="1" applyBorder="1" applyAlignment="1">
      <alignment horizontal="center" vertical="center" wrapText="1"/>
    </xf>
    <xf numFmtId="0" fontId="7" fillId="7" borderId="17" xfId="0" applyFont="1" applyFill="1" applyBorder="1" applyAlignment="1">
      <alignment horizontal="center" vertical="center" wrapText="1"/>
    </xf>
    <xf numFmtId="0" fontId="8" fillId="0" borderId="22" xfId="4" applyFont="1" applyBorder="1" applyAlignment="1">
      <alignment horizontal="center" vertical="center" wrapText="1"/>
    </xf>
    <xf numFmtId="0" fontId="0" fillId="0" borderId="12" xfId="0" applyBorder="1" applyAlignment="1">
      <alignment vertical="center" wrapText="1"/>
    </xf>
    <xf numFmtId="0" fontId="0" fillId="0" borderId="22"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49" fontId="5" fillId="0" borderId="4" xfId="4" applyNumberFormat="1" applyFont="1" applyBorder="1" applyAlignment="1">
      <alignment horizontal="left" vertical="center" wrapText="1"/>
    </xf>
    <xf numFmtId="0" fontId="1" fillId="0" borderId="0" xfId="0" applyFont="1" applyAlignment="1">
      <alignment horizontal="center" vertical="center"/>
    </xf>
    <xf numFmtId="0" fontId="12" fillId="0" borderId="19" xfId="0" applyFont="1" applyBorder="1" applyAlignment="1">
      <alignment horizontal="center" wrapText="1"/>
    </xf>
    <xf numFmtId="0" fontId="12" fillId="0" borderId="46" xfId="0" applyFont="1" applyBorder="1" applyAlignment="1">
      <alignment horizontal="center" wrapText="1"/>
    </xf>
    <xf numFmtId="0" fontId="12" fillId="0" borderId="20" xfId="0" applyFont="1" applyBorder="1" applyAlignment="1">
      <alignment horizontal="center" wrapText="1"/>
    </xf>
    <xf numFmtId="0" fontId="12" fillId="0" borderId="17" xfId="0" applyFont="1" applyBorder="1" applyAlignment="1">
      <alignment horizontal="center" wrapText="1"/>
    </xf>
    <xf numFmtId="0" fontId="12" fillId="0" borderId="21" xfId="0" applyFont="1" applyBorder="1" applyAlignment="1">
      <alignment horizontal="center" wrapText="1"/>
    </xf>
    <xf numFmtId="0" fontId="12" fillId="0" borderId="18" xfId="0" applyFont="1" applyBorder="1" applyAlignment="1">
      <alignment horizontal="center" wrapText="1"/>
    </xf>
    <xf numFmtId="0" fontId="16" fillId="0" borderId="0" xfId="0" applyFont="1" applyAlignment="1">
      <alignment vertical="center"/>
    </xf>
    <xf numFmtId="0" fontId="16" fillId="0" borderId="31" xfId="0" applyFont="1" applyBorder="1" applyAlignment="1">
      <alignment horizontal="center" vertical="center"/>
    </xf>
    <xf numFmtId="0" fontId="16" fillId="0" borderId="4" xfId="0" applyFont="1" applyBorder="1" applyAlignment="1">
      <alignment horizontal="center" vertical="center"/>
    </xf>
    <xf numFmtId="0" fontId="0" fillId="2" borderId="4"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6" fillId="0" borderId="0" xfId="0" applyFont="1" applyAlignment="1">
      <alignment horizontal="center" vertical="center"/>
    </xf>
    <xf numFmtId="0" fontId="7" fillId="7" borderId="44" xfId="4" applyFont="1" applyFill="1" applyBorder="1" applyAlignment="1">
      <alignment horizontal="center" vertical="center" wrapText="1"/>
    </xf>
    <xf numFmtId="0" fontId="7" fillId="7" borderId="47" xfId="4" applyFont="1" applyFill="1" applyBorder="1" applyAlignment="1">
      <alignment horizontal="center" vertical="center" wrapText="1"/>
    </xf>
    <xf numFmtId="0" fontId="7" fillId="7" borderId="16"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6" fillId="9" borderId="34" xfId="0" applyFont="1" applyFill="1" applyBorder="1" applyAlignment="1">
      <alignment horizontal="center" wrapText="1"/>
    </xf>
    <xf numFmtId="0" fontId="6" fillId="9" borderId="28" xfId="0" applyFont="1" applyFill="1" applyBorder="1" applyAlignment="1">
      <alignment horizontal="center" wrapText="1"/>
    </xf>
    <xf numFmtId="0" fontId="6" fillId="9" borderId="35" xfId="0" applyFont="1" applyFill="1" applyBorder="1" applyAlignment="1">
      <alignment horizontal="center" wrapText="1"/>
    </xf>
    <xf numFmtId="0" fontId="6" fillId="9" borderId="40" xfId="0" applyFont="1" applyFill="1" applyBorder="1" applyAlignment="1">
      <alignment horizontal="center" vertical="center" wrapText="1"/>
    </xf>
    <xf numFmtId="0" fontId="6" fillId="9" borderId="41" xfId="0" applyFont="1" applyFill="1" applyBorder="1" applyAlignment="1">
      <alignment horizontal="center" vertical="center" wrapText="1"/>
    </xf>
    <xf numFmtId="0" fontId="6" fillId="9" borderId="42" xfId="0" applyFont="1" applyFill="1" applyBorder="1" applyAlignment="1">
      <alignment horizontal="center" vertical="center" wrapText="1"/>
    </xf>
    <xf numFmtId="0" fontId="6" fillId="9" borderId="33" xfId="0" applyFont="1" applyFill="1" applyBorder="1" applyAlignment="1">
      <alignment horizontal="center" vertical="center" wrapText="1"/>
    </xf>
    <xf numFmtId="0" fontId="6" fillId="9" borderId="24" xfId="0" applyFont="1" applyFill="1" applyBorder="1" applyAlignment="1">
      <alignment horizontal="center" vertical="center" wrapText="1"/>
    </xf>
    <xf numFmtId="0" fontId="6" fillId="9" borderId="25"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7" fillId="7" borderId="36" xfId="0" applyFont="1" applyFill="1" applyBorder="1" applyAlignment="1">
      <alignment horizontal="center" vertical="center" wrapText="1"/>
    </xf>
    <xf numFmtId="0" fontId="7" fillId="7" borderId="14" xfId="0" applyFont="1" applyFill="1" applyBorder="1" applyAlignment="1">
      <alignment horizontal="center" vertical="center" wrapText="1"/>
    </xf>
    <xf numFmtId="0" fontId="7" fillId="7" borderId="40" xfId="4" applyFont="1" applyFill="1" applyBorder="1" applyAlignment="1">
      <alignment horizontal="center" vertical="center" wrapText="1"/>
    </xf>
    <xf numFmtId="0" fontId="7" fillId="7" borderId="42" xfId="4" applyFont="1" applyFill="1" applyBorder="1" applyAlignment="1">
      <alignment horizontal="center" vertical="center" wrapText="1"/>
    </xf>
    <xf numFmtId="0" fontId="7" fillId="7" borderId="39" xfId="4" applyFont="1" applyFill="1" applyBorder="1" applyAlignment="1">
      <alignment horizontal="center" vertical="center" wrapText="1"/>
    </xf>
    <xf numFmtId="0" fontId="7" fillId="7" borderId="23" xfId="4" applyFont="1" applyFill="1" applyBorder="1" applyAlignment="1">
      <alignment horizontal="center" vertical="center" wrapText="1"/>
    </xf>
    <xf numFmtId="0" fontId="7" fillId="7" borderId="45" xfId="4" applyFont="1" applyFill="1" applyBorder="1" applyAlignment="1">
      <alignment horizontal="center" vertical="center" wrapText="1"/>
    </xf>
    <xf numFmtId="0" fontId="7" fillId="7" borderId="40" xfId="4" applyFont="1" applyFill="1" applyBorder="1" applyAlignment="1">
      <alignment horizontal="center" vertical="center"/>
    </xf>
    <xf numFmtId="0" fontId="7" fillId="7" borderId="42" xfId="4" applyFont="1" applyFill="1" applyBorder="1" applyAlignment="1">
      <alignment horizontal="center" vertical="center"/>
    </xf>
    <xf numFmtId="0" fontId="7" fillId="7" borderId="33" xfId="4" applyFont="1" applyFill="1" applyBorder="1" applyAlignment="1">
      <alignment horizontal="center" vertical="center"/>
    </xf>
    <xf numFmtId="0" fontId="7" fillId="7" borderId="25" xfId="4" applyFont="1" applyFill="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0" fillId="0" borderId="16" xfId="0" applyBorder="1" applyAlignment="1">
      <alignment horizontal="center" vertical="center" wrapText="1"/>
    </xf>
    <xf numFmtId="0" fontId="0" fillId="0" borderId="0" xfId="0" applyAlignment="1">
      <alignment horizontal="center"/>
    </xf>
    <xf numFmtId="0" fontId="0" fillId="0" borderId="43" xfId="0" applyBorder="1" applyAlignment="1">
      <alignment horizontal="center" vertical="center"/>
    </xf>
    <xf numFmtId="0" fontId="0" fillId="2" borderId="42" xfId="0" applyFill="1" applyBorder="1" applyAlignment="1">
      <alignment horizontal="center" vertical="center" wrapText="1"/>
    </xf>
    <xf numFmtId="0" fontId="0" fillId="2" borderId="44" xfId="0" applyFill="1" applyBorder="1" applyAlignment="1">
      <alignment horizontal="center" vertical="center" wrapText="1"/>
    </xf>
    <xf numFmtId="0" fontId="0" fillId="2" borderId="41" xfId="0" applyFill="1" applyBorder="1" applyAlignment="1">
      <alignment horizontal="center" vertical="center" wrapText="1"/>
    </xf>
    <xf numFmtId="0" fontId="0" fillId="0" borderId="29" xfId="0" applyBorder="1" applyAlignment="1">
      <alignment horizontal="center" vertical="center"/>
    </xf>
    <xf numFmtId="0" fontId="0" fillId="0" borderId="30" xfId="0" applyBorder="1" applyAlignment="1">
      <alignment horizontal="center" vertical="center"/>
    </xf>
    <xf numFmtId="0" fontId="0" fillId="2" borderId="41" xfId="0" applyFill="1" applyBorder="1" applyAlignment="1">
      <alignment horizontal="center" vertical="center"/>
    </xf>
    <xf numFmtId="0" fontId="0" fillId="10" borderId="29" xfId="0" applyFill="1" applyBorder="1" applyAlignment="1">
      <alignment horizontal="left" vertical="center" wrapText="1"/>
    </xf>
    <xf numFmtId="0" fontId="0" fillId="10" borderId="30" xfId="0" applyFill="1" applyBorder="1" applyAlignment="1">
      <alignment horizontal="left" vertical="center" wrapText="1"/>
    </xf>
    <xf numFmtId="0" fontId="0" fillId="2" borderId="44" xfId="0" applyFill="1" applyBorder="1" applyAlignment="1">
      <alignment horizontal="center" vertical="center"/>
    </xf>
    <xf numFmtId="0" fontId="0" fillId="10" borderId="17" xfId="0" applyFill="1" applyBorder="1" applyAlignment="1">
      <alignment horizontal="left" vertical="center" wrapText="1"/>
    </xf>
    <xf numFmtId="0" fontId="0" fillId="10" borderId="18" xfId="0" applyFill="1" applyBorder="1" applyAlignment="1">
      <alignment horizontal="left" vertical="center" wrapText="1"/>
    </xf>
    <xf numFmtId="15" fontId="0" fillId="0" borderId="43" xfId="0" applyNumberFormat="1"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15" fontId="0" fillId="0" borderId="29" xfId="0" applyNumberFormat="1" applyBorder="1" applyAlignment="1">
      <alignment horizontal="center" vertical="center" wrapText="1"/>
    </xf>
    <xf numFmtId="0" fontId="0" fillId="0" borderId="26" xfId="0" applyBorder="1" applyAlignment="1">
      <alignment horizontal="center" vertical="center" wrapText="1"/>
    </xf>
    <xf numFmtId="0" fontId="0" fillId="0" borderId="18" xfId="0" applyBorder="1" applyAlignment="1">
      <alignment horizontal="center" vertical="center" wrapText="1"/>
    </xf>
    <xf numFmtId="15" fontId="0" fillId="0" borderId="30" xfId="0" applyNumberFormat="1" applyBorder="1" applyAlignment="1">
      <alignment horizontal="center" vertical="center" wrapText="1"/>
    </xf>
    <xf numFmtId="0" fontId="0" fillId="0" borderId="27" xfId="0" applyBorder="1" applyAlignment="1">
      <alignment horizontal="center" vertical="center" wrapText="1"/>
    </xf>
    <xf numFmtId="0" fontId="0" fillId="10" borderId="43" xfId="0" applyFill="1" applyBorder="1" applyAlignment="1">
      <alignment horizontal="left" vertical="center" wrapText="1"/>
    </xf>
    <xf numFmtId="0" fontId="0" fillId="10" borderId="16" xfId="0"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43"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cellXfs>
  <cellStyles count="5">
    <cellStyle name="Normal" xfId="0" builtinId="0"/>
    <cellStyle name="Normal 2" xfId="4" xr:uid="{BC7937FB-D940-46DE-9ADA-90AE20984E66}"/>
    <cellStyle name="Normal 3" xfId="1" xr:uid="{5671BD48-E61D-4839-B03C-1C3021B781A7}"/>
    <cellStyle name="Normal 4" xfId="3" xr:uid="{2A1670A1-02F2-42A4-A0EE-62E50C473E3D}"/>
    <cellStyle name="Normal 5 2" xfId="2" xr:uid="{FEF8A951-151F-4735-8AC4-CC3DE0131895}"/>
  </cellStyles>
  <dxfs count="15">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
      <font>
        <color theme="1"/>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68581-019A-4336-AA68-A6FB6002D7A5}">
  <dimension ref="B2:C13"/>
  <sheetViews>
    <sheetView workbookViewId="0">
      <selection activeCell="B2" sqref="B2:C2"/>
    </sheetView>
  </sheetViews>
  <sheetFormatPr defaultRowHeight="15" x14ac:dyDescent="0.25"/>
  <cols>
    <col min="2" max="2" width="19.140625" bestFit="1" customWidth="1"/>
    <col min="3" max="3" width="43.85546875" customWidth="1"/>
  </cols>
  <sheetData>
    <row r="2" spans="2:3" ht="21" x14ac:dyDescent="0.25">
      <c r="B2" s="61" t="s">
        <v>76</v>
      </c>
      <c r="C2" s="61"/>
    </row>
    <row r="4" spans="2:3" ht="21" x14ac:dyDescent="0.25">
      <c r="B4" s="54" t="s">
        <v>7</v>
      </c>
      <c r="C4" s="47">
        <v>2</v>
      </c>
    </row>
    <row r="5" spans="2:3" ht="21.75" thickBot="1" x14ac:dyDescent="0.3">
      <c r="B5" s="54" t="s">
        <v>10</v>
      </c>
      <c r="C5" s="47" t="s">
        <v>52</v>
      </c>
    </row>
    <row r="6" spans="2:3" ht="21.75" thickBot="1" x14ac:dyDescent="0.3">
      <c r="B6" s="55" t="s">
        <v>8</v>
      </c>
      <c r="C6" s="56" t="s">
        <v>9</v>
      </c>
    </row>
    <row r="7" spans="2:3" ht="18.75" x14ac:dyDescent="0.3">
      <c r="B7" s="48">
        <v>25030241063</v>
      </c>
      <c r="C7" s="49" t="s">
        <v>50</v>
      </c>
    </row>
    <row r="8" spans="2:3" ht="18.75" x14ac:dyDescent="0.3">
      <c r="B8" s="50">
        <v>25030241070</v>
      </c>
      <c r="C8" s="51" t="s">
        <v>51</v>
      </c>
    </row>
    <row r="9" spans="2:3" ht="18.75" x14ac:dyDescent="0.3">
      <c r="B9" s="50">
        <v>25030241074</v>
      </c>
      <c r="C9" s="51" t="s">
        <v>45</v>
      </c>
    </row>
    <row r="10" spans="2:3" ht="18.75" x14ac:dyDescent="0.3">
      <c r="B10" s="50">
        <v>25030241075</v>
      </c>
      <c r="C10" s="51" t="s">
        <v>46</v>
      </c>
    </row>
    <row r="11" spans="2:3" ht="18.75" x14ac:dyDescent="0.3">
      <c r="B11" s="50">
        <v>25030241076</v>
      </c>
      <c r="C11" s="51" t="s">
        <v>47</v>
      </c>
    </row>
    <row r="12" spans="2:3" ht="18.75" x14ac:dyDescent="0.3">
      <c r="B12" s="50">
        <v>25030241077</v>
      </c>
      <c r="C12" s="51" t="s">
        <v>48</v>
      </c>
    </row>
    <row r="13" spans="2:3" ht="19.5" thickBot="1" x14ac:dyDescent="0.35">
      <c r="B13" s="52">
        <v>25030241078</v>
      </c>
      <c r="C13" s="53" t="s">
        <v>49</v>
      </c>
    </row>
  </sheetData>
  <mergeCells count="1">
    <mergeCell ref="B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DAB4-D910-470E-965D-AFB904584B30}">
  <dimension ref="B1:T13"/>
  <sheetViews>
    <sheetView topLeftCell="D1" zoomScale="55" zoomScaleNormal="55" workbookViewId="0">
      <selection activeCell="M9" sqref="M9"/>
    </sheetView>
  </sheetViews>
  <sheetFormatPr defaultRowHeight="15" x14ac:dyDescent="0.25"/>
  <cols>
    <col min="2" max="2" width="19.85546875" customWidth="1"/>
    <col min="3" max="3" width="15.28515625" customWidth="1"/>
    <col min="4" max="4" width="62.7109375" customWidth="1"/>
    <col min="5" max="5" width="22.42578125" customWidth="1"/>
    <col min="6" max="6" width="27.7109375" customWidth="1"/>
    <col min="7" max="7" width="17.7109375" customWidth="1"/>
    <col min="8" max="8" width="36.85546875" customWidth="1"/>
    <col min="9" max="9" width="37.140625" customWidth="1"/>
    <col min="10" max="10" width="34" customWidth="1"/>
    <col min="15" max="15" width="26" style="14" customWidth="1"/>
    <col min="16" max="16" width="33.5703125" style="14" customWidth="1"/>
    <col min="17" max="17" width="35.42578125" style="14" customWidth="1"/>
    <col min="18" max="18" width="39" style="14" customWidth="1"/>
    <col min="19" max="19" width="30.42578125" style="14" customWidth="1"/>
    <col min="20" max="20" width="37.140625" style="14" customWidth="1"/>
  </cols>
  <sheetData>
    <row r="1" spans="2:20" ht="15.75" thickBot="1" x14ac:dyDescent="0.3"/>
    <row r="2" spans="2:20" ht="23.25" customHeight="1" thickBot="1" x14ac:dyDescent="0.5">
      <c r="B2" s="69" t="s">
        <v>53</v>
      </c>
      <c r="C2" s="70"/>
      <c r="D2" s="71"/>
      <c r="F2" s="69" t="s">
        <v>54</v>
      </c>
      <c r="G2" s="70"/>
      <c r="H2" s="70"/>
      <c r="I2" s="70"/>
      <c r="J2" s="71"/>
      <c r="O2" s="66" t="s">
        <v>55</v>
      </c>
      <c r="P2" s="67"/>
      <c r="Q2" s="67"/>
      <c r="R2" s="67"/>
      <c r="S2" s="67"/>
      <c r="T2" s="68"/>
    </row>
    <row r="3" spans="2:20" ht="23.25" customHeight="1" thickBot="1" x14ac:dyDescent="0.3">
      <c r="B3" s="72"/>
      <c r="C3" s="73"/>
      <c r="D3" s="74"/>
      <c r="F3" s="72"/>
      <c r="G3" s="73"/>
      <c r="H3" s="73"/>
      <c r="I3" s="73"/>
      <c r="J3" s="74"/>
      <c r="O3" s="25"/>
      <c r="P3" s="75" t="s">
        <v>33</v>
      </c>
      <c r="Q3" s="76"/>
      <c r="R3" s="76"/>
      <c r="S3" s="76"/>
      <c r="T3" s="77"/>
    </row>
    <row r="4" spans="2:20" ht="23.25" customHeight="1" x14ac:dyDescent="0.25">
      <c r="B4" s="78" t="s">
        <v>16</v>
      </c>
      <c r="C4" s="79"/>
      <c r="D4" s="62" t="s">
        <v>17</v>
      </c>
      <c r="F4" s="83" t="s">
        <v>23</v>
      </c>
      <c r="G4" s="84"/>
      <c r="H4" s="62" t="s">
        <v>29</v>
      </c>
      <c r="I4" s="62" t="s">
        <v>30</v>
      </c>
      <c r="J4" s="62" t="s">
        <v>31</v>
      </c>
      <c r="O4" s="64" t="s">
        <v>32</v>
      </c>
      <c r="P4" s="32" t="s">
        <v>28</v>
      </c>
      <c r="Q4" s="33" t="s">
        <v>27</v>
      </c>
      <c r="R4" s="33" t="s">
        <v>26</v>
      </c>
      <c r="S4" s="33" t="s">
        <v>25</v>
      </c>
      <c r="T4" s="34" t="s">
        <v>24</v>
      </c>
    </row>
    <row r="5" spans="2:20" ht="23.25" customHeight="1" thickBot="1" x14ac:dyDescent="0.3">
      <c r="B5" s="80"/>
      <c r="C5" s="81"/>
      <c r="D5" s="82"/>
      <c r="F5" s="85"/>
      <c r="G5" s="86"/>
      <c r="H5" s="63"/>
      <c r="I5" s="63"/>
      <c r="J5" s="63"/>
      <c r="O5" s="65"/>
      <c r="P5" s="21">
        <v>1</v>
      </c>
      <c r="Q5" s="35">
        <v>2</v>
      </c>
      <c r="R5" s="35">
        <v>3</v>
      </c>
      <c r="S5" s="35">
        <v>4</v>
      </c>
      <c r="T5" s="36">
        <v>5</v>
      </c>
    </row>
    <row r="6" spans="2:20" ht="207" thickBot="1" x14ac:dyDescent="0.3">
      <c r="B6" s="2" t="s">
        <v>18</v>
      </c>
      <c r="C6" s="5">
        <v>5</v>
      </c>
      <c r="D6" s="13" t="s">
        <v>56</v>
      </c>
      <c r="F6" s="41" t="s">
        <v>24</v>
      </c>
      <c r="G6" s="41">
        <v>5</v>
      </c>
      <c r="H6" s="43" t="s">
        <v>61</v>
      </c>
      <c r="I6" s="10" t="s">
        <v>64</v>
      </c>
      <c r="J6" s="42" t="s">
        <v>65</v>
      </c>
      <c r="O6" s="26" t="s">
        <v>34</v>
      </c>
      <c r="P6" s="37" t="s">
        <v>35</v>
      </c>
      <c r="Q6" s="28" t="s">
        <v>36</v>
      </c>
      <c r="R6" s="29" t="s">
        <v>37</v>
      </c>
      <c r="S6" s="30" t="s">
        <v>38</v>
      </c>
      <c r="T6" s="31" t="s">
        <v>38</v>
      </c>
    </row>
    <row r="7" spans="2:20" ht="169.5" thickBot="1" x14ac:dyDescent="0.3">
      <c r="B7" s="3" t="s">
        <v>19</v>
      </c>
      <c r="C7" s="6">
        <v>4</v>
      </c>
      <c r="D7" s="13" t="s">
        <v>57</v>
      </c>
      <c r="F7" s="3" t="s">
        <v>25</v>
      </c>
      <c r="G7" s="3">
        <v>4</v>
      </c>
      <c r="H7" s="44" t="s">
        <v>62</v>
      </c>
      <c r="I7" s="11" t="s">
        <v>66</v>
      </c>
      <c r="J7" s="8" t="s">
        <v>67</v>
      </c>
      <c r="O7" s="40" t="s">
        <v>39</v>
      </c>
      <c r="P7" s="38" t="s">
        <v>35</v>
      </c>
      <c r="Q7" s="16" t="s">
        <v>36</v>
      </c>
      <c r="R7" s="17" t="s">
        <v>37</v>
      </c>
      <c r="S7" s="17" t="s">
        <v>37</v>
      </c>
      <c r="T7" s="19" t="s">
        <v>38</v>
      </c>
    </row>
    <row r="8" spans="2:20" ht="150.75" thickBot="1" x14ac:dyDescent="0.3">
      <c r="B8" s="3" t="s">
        <v>20</v>
      </c>
      <c r="C8" s="6">
        <v>3</v>
      </c>
      <c r="D8" s="13" t="s">
        <v>58</v>
      </c>
      <c r="F8" s="3" t="s">
        <v>26</v>
      </c>
      <c r="G8" s="3">
        <v>3</v>
      </c>
      <c r="H8" s="44" t="s">
        <v>63</v>
      </c>
      <c r="I8" s="11" t="s">
        <v>68</v>
      </c>
      <c r="J8" s="8" t="s">
        <v>69</v>
      </c>
      <c r="O8" s="40" t="s">
        <v>40</v>
      </c>
      <c r="P8" s="38" t="s">
        <v>35</v>
      </c>
      <c r="Q8" s="15" t="s">
        <v>35</v>
      </c>
      <c r="R8" s="16" t="s">
        <v>36</v>
      </c>
      <c r="S8" s="17" t="s">
        <v>37</v>
      </c>
      <c r="T8" s="20" t="s">
        <v>37</v>
      </c>
    </row>
    <row r="9" spans="2:20" ht="169.5" thickBot="1" x14ac:dyDescent="0.3">
      <c r="B9" s="3" t="s">
        <v>21</v>
      </c>
      <c r="C9" s="6">
        <v>2</v>
      </c>
      <c r="D9" s="13" t="s">
        <v>59</v>
      </c>
      <c r="F9" s="3" t="s">
        <v>27</v>
      </c>
      <c r="G9" s="3">
        <v>2</v>
      </c>
      <c r="H9" s="44" t="s">
        <v>70</v>
      </c>
      <c r="I9" s="11" t="s">
        <v>71</v>
      </c>
      <c r="J9" s="8" t="s">
        <v>72</v>
      </c>
      <c r="O9" s="40" t="s">
        <v>41</v>
      </c>
      <c r="P9" s="38" t="s">
        <v>35</v>
      </c>
      <c r="Q9" s="15" t="s">
        <v>35</v>
      </c>
      <c r="R9" s="16" t="s">
        <v>36</v>
      </c>
      <c r="S9" s="16" t="s">
        <v>36</v>
      </c>
      <c r="T9" s="20" t="s">
        <v>37</v>
      </c>
    </row>
    <row r="10" spans="2:20" ht="188.25" thickBot="1" x14ac:dyDescent="0.3">
      <c r="B10" s="4" t="s">
        <v>22</v>
      </c>
      <c r="C10" s="7">
        <v>1</v>
      </c>
      <c r="D10" s="46" t="s">
        <v>60</v>
      </c>
      <c r="F10" s="4" t="s">
        <v>28</v>
      </c>
      <c r="G10" s="4">
        <v>1</v>
      </c>
      <c r="H10" s="45" t="s">
        <v>73</v>
      </c>
      <c r="I10" s="12" t="s">
        <v>74</v>
      </c>
      <c r="J10" s="9" t="s">
        <v>75</v>
      </c>
      <c r="O10" s="27" t="s">
        <v>42</v>
      </c>
      <c r="P10" s="39" t="s">
        <v>35</v>
      </c>
      <c r="Q10" s="22" t="s">
        <v>35</v>
      </c>
      <c r="R10" s="22" t="s">
        <v>35</v>
      </c>
      <c r="S10" s="23" t="s">
        <v>36</v>
      </c>
      <c r="T10" s="24" t="s">
        <v>36</v>
      </c>
    </row>
    <row r="13" spans="2:20" ht="14.45" customHeight="1" x14ac:dyDescent="0.25">
      <c r="H13" s="1"/>
      <c r="I13" s="1"/>
      <c r="J13" s="1"/>
      <c r="K13" s="1"/>
    </row>
  </sheetData>
  <mergeCells count="11">
    <mergeCell ref="J4:J5"/>
    <mergeCell ref="O4:O5"/>
    <mergeCell ref="O2:T2"/>
    <mergeCell ref="B2:D3"/>
    <mergeCell ref="F2:J3"/>
    <mergeCell ref="P3:T3"/>
    <mergeCell ref="B4:C5"/>
    <mergeCell ref="D4:D5"/>
    <mergeCell ref="F4:G5"/>
    <mergeCell ref="H4:H5"/>
    <mergeCell ref="I4: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D389A-FF89-4DAA-853B-AAEF6C899218}">
  <dimension ref="A1:P18"/>
  <sheetViews>
    <sheetView tabSelected="1" topLeftCell="D1" zoomScale="85" zoomScaleNormal="85" workbookViewId="0">
      <selection activeCell="G6" sqref="G6"/>
    </sheetView>
  </sheetViews>
  <sheetFormatPr defaultRowHeight="15" x14ac:dyDescent="0.25"/>
  <cols>
    <col min="1" max="1" width="9.140625" style="14"/>
    <col min="2" max="2" width="42.42578125" style="114" customWidth="1"/>
    <col min="3" max="3" width="43.85546875" style="114" customWidth="1"/>
    <col min="4" max="4" width="80.7109375" style="114" customWidth="1"/>
    <col min="5" max="5" width="36.28515625" style="14" customWidth="1"/>
    <col min="6" max="6" width="29.85546875" style="14" customWidth="1"/>
    <col min="7" max="7" width="32.85546875" style="14" customWidth="1"/>
    <col min="8" max="8" width="17.5703125" style="14" customWidth="1"/>
    <col min="9" max="9" width="41" style="114" customWidth="1"/>
    <col min="10" max="10" width="64.5703125" style="114" customWidth="1"/>
    <col min="11" max="11" width="23" style="14" customWidth="1"/>
    <col min="12" max="12" width="46.140625" style="114" customWidth="1"/>
    <col min="13" max="13" width="18.140625" style="14" customWidth="1"/>
    <col min="14" max="14" width="17.7109375" style="14" customWidth="1"/>
    <col min="15" max="15" width="25.140625" style="14" customWidth="1"/>
    <col min="16" max="16" width="21" style="14" customWidth="1"/>
  </cols>
  <sheetData>
    <row r="1" spans="1:16" ht="15.75" thickBot="1" x14ac:dyDescent="0.3">
      <c r="B1" s="113"/>
      <c r="C1" s="113"/>
      <c r="D1" s="113"/>
      <c r="E1" s="18"/>
      <c r="F1" s="18"/>
      <c r="G1" s="18"/>
      <c r="H1" s="18"/>
      <c r="I1" s="113"/>
    </row>
    <row r="2" spans="1:16" ht="21.75" thickBot="1" x14ac:dyDescent="0.3">
      <c r="B2" s="57" t="s">
        <v>0</v>
      </c>
      <c r="C2" s="87" t="s">
        <v>76</v>
      </c>
      <c r="D2" s="88"/>
      <c r="E2" s="18"/>
      <c r="F2" s="18"/>
      <c r="G2" s="18"/>
      <c r="H2" s="18"/>
      <c r="I2" s="113"/>
    </row>
    <row r="3" spans="1:16" ht="15.75" thickBot="1" x14ac:dyDescent="0.3"/>
    <row r="4" spans="1:16" s="90" customFormat="1" ht="45.75" thickBot="1" x14ac:dyDescent="0.3">
      <c r="A4" s="100" t="s">
        <v>77</v>
      </c>
      <c r="B4" s="97" t="s">
        <v>1</v>
      </c>
      <c r="C4" s="100" t="s">
        <v>2</v>
      </c>
      <c r="D4" s="97" t="s">
        <v>11</v>
      </c>
      <c r="E4" s="93" t="s">
        <v>3</v>
      </c>
      <c r="F4" s="94" t="s">
        <v>6</v>
      </c>
      <c r="G4" s="93" t="s">
        <v>78</v>
      </c>
      <c r="H4" s="94" t="s">
        <v>12</v>
      </c>
      <c r="I4" s="93" t="s">
        <v>4</v>
      </c>
      <c r="J4" s="94" t="s">
        <v>5</v>
      </c>
      <c r="K4" s="93" t="s">
        <v>137</v>
      </c>
      <c r="L4" s="94" t="s">
        <v>13</v>
      </c>
      <c r="M4" s="93" t="s">
        <v>43</v>
      </c>
      <c r="N4" s="94" t="s">
        <v>14</v>
      </c>
      <c r="O4" s="93" t="s">
        <v>44</v>
      </c>
      <c r="P4" s="92" t="s">
        <v>15</v>
      </c>
    </row>
    <row r="5" spans="1:16" s="14" customFormat="1" ht="105" x14ac:dyDescent="0.25">
      <c r="A5" s="58">
        <v>1</v>
      </c>
      <c r="B5" s="111" t="s">
        <v>80</v>
      </c>
      <c r="C5" s="112" t="s">
        <v>81</v>
      </c>
      <c r="D5" s="111" t="s">
        <v>82</v>
      </c>
      <c r="E5" s="58" t="s">
        <v>39</v>
      </c>
      <c r="F5" s="91" t="s">
        <v>185</v>
      </c>
      <c r="G5" s="58">
        <f>IF(AND(E5&lt;&gt;"",F5&lt;&gt;""), VALUE(LEFT(E5,1)) * VALUE(LEFT(F5,1)), 0)</f>
        <v>20</v>
      </c>
      <c r="H5" s="91" t="s">
        <v>38</v>
      </c>
      <c r="I5" s="112" t="s">
        <v>122</v>
      </c>
      <c r="J5" s="111" t="s">
        <v>169</v>
      </c>
      <c r="K5" s="89" t="s">
        <v>183</v>
      </c>
      <c r="L5" s="115" t="s">
        <v>138</v>
      </c>
      <c r="M5" s="89" t="s">
        <v>139</v>
      </c>
      <c r="N5" s="103">
        <v>45945</v>
      </c>
      <c r="O5" s="89" t="s">
        <v>140</v>
      </c>
      <c r="P5" s="104" t="s">
        <v>141</v>
      </c>
    </row>
    <row r="6" spans="1:16" ht="105" x14ac:dyDescent="0.25">
      <c r="A6" s="59">
        <v>2</v>
      </c>
      <c r="B6" s="98" t="s">
        <v>83</v>
      </c>
      <c r="C6" s="101" t="s">
        <v>84</v>
      </c>
      <c r="D6" s="98" t="s">
        <v>85</v>
      </c>
      <c r="E6" s="59" t="s">
        <v>40</v>
      </c>
      <c r="F6" s="95" t="s">
        <v>185</v>
      </c>
      <c r="G6" s="59">
        <f t="shared" ref="G6:G18" si="0">IF(AND(E6&lt;&gt;"",F6&lt;&gt;""), VALUE(LEFT(E6,1)) * VALUE(LEFT(F6,1)), 0)</f>
        <v>15</v>
      </c>
      <c r="H6" s="95" t="s">
        <v>37</v>
      </c>
      <c r="I6" s="101" t="s">
        <v>123</v>
      </c>
      <c r="J6" s="98" t="s">
        <v>170</v>
      </c>
      <c r="K6" s="105" t="s">
        <v>183</v>
      </c>
      <c r="L6" s="116" t="s">
        <v>142</v>
      </c>
      <c r="M6" s="105" t="s">
        <v>143</v>
      </c>
      <c r="N6" s="106">
        <v>45961</v>
      </c>
      <c r="O6" s="105" t="s">
        <v>144</v>
      </c>
      <c r="P6" s="107" t="s">
        <v>141</v>
      </c>
    </row>
    <row r="7" spans="1:16" ht="165" x14ac:dyDescent="0.25">
      <c r="A7" s="59">
        <v>3</v>
      </c>
      <c r="B7" s="98" t="s">
        <v>86</v>
      </c>
      <c r="C7" s="101" t="s">
        <v>87</v>
      </c>
      <c r="D7" s="98" t="s">
        <v>88</v>
      </c>
      <c r="E7" s="59" t="s">
        <v>39</v>
      </c>
      <c r="F7" s="95" t="s">
        <v>136</v>
      </c>
      <c r="G7" s="59">
        <f t="shared" si="0"/>
        <v>16</v>
      </c>
      <c r="H7" s="95" t="s">
        <v>37</v>
      </c>
      <c r="I7" s="101" t="s">
        <v>124</v>
      </c>
      <c r="J7" s="98" t="s">
        <v>171</v>
      </c>
      <c r="K7" s="105" t="s">
        <v>183</v>
      </c>
      <c r="L7" s="116" t="s">
        <v>145</v>
      </c>
      <c r="M7" s="105" t="s">
        <v>146</v>
      </c>
      <c r="N7" s="106">
        <v>45930</v>
      </c>
      <c r="O7" s="105" t="s">
        <v>144</v>
      </c>
      <c r="P7" s="107" t="s">
        <v>141</v>
      </c>
    </row>
    <row r="8" spans="1:16" ht="105" x14ac:dyDescent="0.25">
      <c r="A8" s="59">
        <v>4</v>
      </c>
      <c r="B8" s="98" t="s">
        <v>89</v>
      </c>
      <c r="C8" s="101" t="s">
        <v>90</v>
      </c>
      <c r="D8" s="98" t="s">
        <v>91</v>
      </c>
      <c r="E8" s="59" t="s">
        <v>40</v>
      </c>
      <c r="F8" s="95" t="s">
        <v>136</v>
      </c>
      <c r="G8" s="59">
        <f t="shared" si="0"/>
        <v>12</v>
      </c>
      <c r="H8" s="95" t="s">
        <v>37</v>
      </c>
      <c r="I8" s="101" t="s">
        <v>125</v>
      </c>
      <c r="J8" s="98" t="s">
        <v>172</v>
      </c>
      <c r="K8" s="105" t="s">
        <v>183</v>
      </c>
      <c r="L8" s="116" t="s">
        <v>147</v>
      </c>
      <c r="M8" s="105" t="s">
        <v>148</v>
      </c>
      <c r="N8" s="106">
        <v>45961</v>
      </c>
      <c r="O8" s="105" t="s">
        <v>144</v>
      </c>
      <c r="P8" s="107" t="s">
        <v>141</v>
      </c>
    </row>
    <row r="9" spans="1:16" ht="120" x14ac:dyDescent="0.25">
      <c r="A9" s="59">
        <v>5</v>
      </c>
      <c r="B9" s="98" t="s">
        <v>92</v>
      </c>
      <c r="C9" s="101" t="s">
        <v>93</v>
      </c>
      <c r="D9" s="98" t="s">
        <v>94</v>
      </c>
      <c r="E9" s="59" t="s">
        <v>40</v>
      </c>
      <c r="F9" s="95" t="s">
        <v>185</v>
      </c>
      <c r="G9" s="59">
        <f t="shared" si="0"/>
        <v>15</v>
      </c>
      <c r="H9" s="95" t="s">
        <v>37</v>
      </c>
      <c r="I9" s="101" t="s">
        <v>126</v>
      </c>
      <c r="J9" s="98" t="s">
        <v>173</v>
      </c>
      <c r="K9" s="105" t="s">
        <v>183</v>
      </c>
      <c r="L9" s="116" t="s">
        <v>149</v>
      </c>
      <c r="M9" s="105" t="s">
        <v>150</v>
      </c>
      <c r="N9" s="106">
        <v>45961</v>
      </c>
      <c r="O9" s="105" t="s">
        <v>144</v>
      </c>
      <c r="P9" s="107" t="s">
        <v>141</v>
      </c>
    </row>
    <row r="10" spans="1:16" ht="135" x14ac:dyDescent="0.25">
      <c r="A10" s="59">
        <v>6</v>
      </c>
      <c r="B10" s="98" t="s">
        <v>95</v>
      </c>
      <c r="C10" s="101" t="s">
        <v>96</v>
      </c>
      <c r="D10" s="98" t="s">
        <v>97</v>
      </c>
      <c r="E10" s="59" t="s">
        <v>39</v>
      </c>
      <c r="F10" s="95" t="s">
        <v>185</v>
      </c>
      <c r="G10" s="59">
        <f t="shared" si="0"/>
        <v>20</v>
      </c>
      <c r="H10" s="95" t="s">
        <v>38</v>
      </c>
      <c r="I10" s="101" t="s">
        <v>127</v>
      </c>
      <c r="J10" s="98" t="s">
        <v>174</v>
      </c>
      <c r="K10" s="105" t="s">
        <v>183</v>
      </c>
      <c r="L10" s="116" t="s">
        <v>151</v>
      </c>
      <c r="M10" s="105" t="s">
        <v>152</v>
      </c>
      <c r="N10" s="106">
        <v>45945</v>
      </c>
      <c r="O10" s="105" t="s">
        <v>153</v>
      </c>
      <c r="P10" s="107" t="s">
        <v>141</v>
      </c>
    </row>
    <row r="11" spans="1:16" ht="105.75" customHeight="1" x14ac:dyDescent="0.25">
      <c r="A11" s="59">
        <v>7</v>
      </c>
      <c r="B11" s="98" t="s">
        <v>98</v>
      </c>
      <c r="C11" s="101" t="s">
        <v>99</v>
      </c>
      <c r="D11" s="98" t="s">
        <v>100</v>
      </c>
      <c r="E11" s="59" t="s">
        <v>41</v>
      </c>
      <c r="F11" s="95" t="s">
        <v>136</v>
      </c>
      <c r="G11" s="59">
        <f t="shared" si="0"/>
        <v>8</v>
      </c>
      <c r="H11" s="95" t="s">
        <v>36</v>
      </c>
      <c r="I11" s="101" t="s">
        <v>128</v>
      </c>
      <c r="J11" s="98" t="s">
        <v>175</v>
      </c>
      <c r="K11" s="105" t="s">
        <v>184</v>
      </c>
      <c r="L11" s="116" t="s">
        <v>154</v>
      </c>
      <c r="M11" s="105" t="s">
        <v>155</v>
      </c>
      <c r="N11" s="106">
        <v>46022</v>
      </c>
      <c r="O11" s="105" t="s">
        <v>144</v>
      </c>
      <c r="P11" s="107" t="s">
        <v>141</v>
      </c>
    </row>
    <row r="12" spans="1:16" ht="105" x14ac:dyDescent="0.25">
      <c r="A12" s="59">
        <v>8</v>
      </c>
      <c r="B12" s="98" t="s">
        <v>101</v>
      </c>
      <c r="C12" s="101" t="s">
        <v>102</v>
      </c>
      <c r="D12" s="98" t="s">
        <v>103</v>
      </c>
      <c r="E12" s="59" t="s">
        <v>40</v>
      </c>
      <c r="F12" s="95" t="s">
        <v>79</v>
      </c>
      <c r="G12" s="59">
        <f t="shared" si="0"/>
        <v>9</v>
      </c>
      <c r="H12" s="95" t="s">
        <v>36</v>
      </c>
      <c r="I12" s="101" t="s">
        <v>129</v>
      </c>
      <c r="J12" s="98" t="s">
        <v>176</v>
      </c>
      <c r="K12" s="105" t="s">
        <v>183</v>
      </c>
      <c r="L12" s="116" t="s">
        <v>156</v>
      </c>
      <c r="M12" s="105" t="s">
        <v>157</v>
      </c>
      <c r="N12" s="106">
        <v>45991</v>
      </c>
      <c r="O12" s="105" t="s">
        <v>144</v>
      </c>
      <c r="P12" s="107" t="s">
        <v>141</v>
      </c>
    </row>
    <row r="13" spans="1:16" ht="195" x14ac:dyDescent="0.25">
      <c r="A13" s="59">
        <v>9</v>
      </c>
      <c r="B13" s="98" t="s">
        <v>104</v>
      </c>
      <c r="C13" s="101" t="s">
        <v>105</v>
      </c>
      <c r="D13" s="98" t="s">
        <v>106</v>
      </c>
      <c r="E13" s="59" t="s">
        <v>39</v>
      </c>
      <c r="F13" s="95" t="s">
        <v>79</v>
      </c>
      <c r="G13" s="59">
        <f t="shared" si="0"/>
        <v>12</v>
      </c>
      <c r="H13" s="95" t="s">
        <v>37</v>
      </c>
      <c r="I13" s="101" t="s">
        <v>130</v>
      </c>
      <c r="J13" s="98" t="s">
        <v>177</v>
      </c>
      <c r="K13" s="105" t="s">
        <v>183</v>
      </c>
      <c r="L13" s="116" t="s">
        <v>158</v>
      </c>
      <c r="M13" s="105" t="s">
        <v>159</v>
      </c>
      <c r="N13" s="106">
        <v>46022</v>
      </c>
      <c r="O13" s="105" t="s">
        <v>144</v>
      </c>
      <c r="P13" s="107" t="s">
        <v>141</v>
      </c>
    </row>
    <row r="14" spans="1:16" ht="270" x14ac:dyDescent="0.25">
      <c r="A14" s="59">
        <v>10</v>
      </c>
      <c r="B14" s="98" t="s">
        <v>107</v>
      </c>
      <c r="C14" s="101" t="s">
        <v>108</v>
      </c>
      <c r="D14" s="98" t="s">
        <v>109</v>
      </c>
      <c r="E14" s="59" t="s">
        <v>40</v>
      </c>
      <c r="F14" s="95" t="s">
        <v>136</v>
      </c>
      <c r="G14" s="59">
        <f t="shared" si="0"/>
        <v>12</v>
      </c>
      <c r="H14" s="95" t="s">
        <v>37</v>
      </c>
      <c r="I14" s="101" t="s">
        <v>131</v>
      </c>
      <c r="J14" s="98" t="s">
        <v>178</v>
      </c>
      <c r="K14" s="105" t="s">
        <v>183</v>
      </c>
      <c r="L14" s="116" t="s">
        <v>160</v>
      </c>
      <c r="M14" s="105" t="s">
        <v>161</v>
      </c>
      <c r="N14" s="106">
        <v>45961</v>
      </c>
      <c r="O14" s="105" t="s">
        <v>144</v>
      </c>
      <c r="P14" s="107" t="s">
        <v>141</v>
      </c>
    </row>
    <row r="15" spans="1:16" ht="255.75" customHeight="1" x14ac:dyDescent="0.25">
      <c r="A15" s="59">
        <v>11</v>
      </c>
      <c r="B15" s="98" t="s">
        <v>110</v>
      </c>
      <c r="C15" s="101" t="s">
        <v>111</v>
      </c>
      <c r="D15" s="98" t="s">
        <v>112</v>
      </c>
      <c r="E15" s="59" t="s">
        <v>40</v>
      </c>
      <c r="F15" s="95" t="s">
        <v>185</v>
      </c>
      <c r="G15" s="59">
        <f t="shared" si="0"/>
        <v>15</v>
      </c>
      <c r="H15" s="95" t="s">
        <v>37</v>
      </c>
      <c r="I15" s="101" t="s">
        <v>132</v>
      </c>
      <c r="J15" s="98" t="s">
        <v>179</v>
      </c>
      <c r="K15" s="105" t="s">
        <v>183</v>
      </c>
      <c r="L15" s="116" t="s">
        <v>162</v>
      </c>
      <c r="M15" s="105" t="s">
        <v>163</v>
      </c>
      <c r="N15" s="106">
        <v>45930</v>
      </c>
      <c r="O15" s="105" t="s">
        <v>153</v>
      </c>
      <c r="P15" s="107" t="s">
        <v>141</v>
      </c>
    </row>
    <row r="16" spans="1:16" ht="180" x14ac:dyDescent="0.25">
      <c r="A16" s="59">
        <v>12</v>
      </c>
      <c r="B16" s="98" t="s">
        <v>113</v>
      </c>
      <c r="C16" s="101" t="s">
        <v>114</v>
      </c>
      <c r="D16" s="98" t="s">
        <v>115</v>
      </c>
      <c r="E16" s="59" t="s">
        <v>41</v>
      </c>
      <c r="F16" s="95" t="s">
        <v>136</v>
      </c>
      <c r="G16" s="59">
        <f t="shared" si="0"/>
        <v>8</v>
      </c>
      <c r="H16" s="95" t="s">
        <v>36</v>
      </c>
      <c r="I16" s="101" t="s">
        <v>133</v>
      </c>
      <c r="J16" s="98" t="s">
        <v>180</v>
      </c>
      <c r="K16" s="105" t="s">
        <v>184</v>
      </c>
      <c r="L16" s="116" t="s">
        <v>164</v>
      </c>
      <c r="M16" s="105" t="s">
        <v>157</v>
      </c>
      <c r="N16" s="106">
        <v>46022</v>
      </c>
      <c r="O16" s="105" t="s">
        <v>144</v>
      </c>
      <c r="P16" s="107" t="s">
        <v>141</v>
      </c>
    </row>
    <row r="17" spans="1:16" ht="225" x14ac:dyDescent="0.25">
      <c r="A17" s="59">
        <v>13</v>
      </c>
      <c r="B17" s="98" t="s">
        <v>116</v>
      </c>
      <c r="C17" s="101" t="s">
        <v>117</v>
      </c>
      <c r="D17" s="98" t="s">
        <v>118</v>
      </c>
      <c r="E17" s="59" t="s">
        <v>40</v>
      </c>
      <c r="F17" s="95" t="s">
        <v>136</v>
      </c>
      <c r="G17" s="59">
        <f t="shared" si="0"/>
        <v>12</v>
      </c>
      <c r="H17" s="95" t="s">
        <v>37</v>
      </c>
      <c r="I17" s="101" t="s">
        <v>134</v>
      </c>
      <c r="J17" s="98" t="s">
        <v>181</v>
      </c>
      <c r="K17" s="105" t="s">
        <v>183</v>
      </c>
      <c r="L17" s="116" t="s">
        <v>165</v>
      </c>
      <c r="M17" s="105" t="s">
        <v>166</v>
      </c>
      <c r="N17" s="106">
        <v>45961</v>
      </c>
      <c r="O17" s="105" t="s">
        <v>153</v>
      </c>
      <c r="P17" s="107" t="s">
        <v>141</v>
      </c>
    </row>
    <row r="18" spans="1:16" ht="180.75" thickBot="1" x14ac:dyDescent="0.3">
      <c r="A18" s="60">
        <v>14</v>
      </c>
      <c r="B18" s="99" t="s">
        <v>119</v>
      </c>
      <c r="C18" s="102" t="s">
        <v>120</v>
      </c>
      <c r="D18" s="99" t="s">
        <v>121</v>
      </c>
      <c r="E18" s="60" t="s">
        <v>39</v>
      </c>
      <c r="F18" s="96" t="s">
        <v>136</v>
      </c>
      <c r="G18" s="60">
        <f t="shared" si="0"/>
        <v>16</v>
      </c>
      <c r="H18" s="96" t="s">
        <v>37</v>
      </c>
      <c r="I18" s="102" t="s">
        <v>135</v>
      </c>
      <c r="J18" s="99" t="s">
        <v>182</v>
      </c>
      <c r="K18" s="108" t="s">
        <v>183</v>
      </c>
      <c r="L18" s="117" t="s">
        <v>167</v>
      </c>
      <c r="M18" s="108" t="s">
        <v>168</v>
      </c>
      <c r="N18" s="109">
        <v>45961</v>
      </c>
      <c r="O18" s="108" t="s">
        <v>153</v>
      </c>
      <c r="P18" s="110" t="s">
        <v>141</v>
      </c>
    </row>
  </sheetData>
  <mergeCells count="1">
    <mergeCell ref="C2:D2"/>
  </mergeCells>
  <phoneticPr fontId="17" type="noConversion"/>
  <conditionalFormatting sqref="E5:E18">
    <cfRule type="cellIs" dxfId="14" priority="16" operator="equal">
      <formula>"1 - Rare"</formula>
    </cfRule>
    <cfRule type="cellIs" dxfId="13" priority="17" operator="equal">
      <formula>"2 - Unlikely"</formula>
    </cfRule>
    <cfRule type="cellIs" dxfId="12" priority="18" operator="equal">
      <formula>"3 - Possible"</formula>
    </cfRule>
    <cfRule type="cellIs" dxfId="11" priority="19" operator="equal">
      <formula>"4 - Likely"</formula>
    </cfRule>
    <cfRule type="cellIs" dxfId="10" priority="20" operator="equal">
      <formula>"5 - Almost Certain"</formula>
    </cfRule>
    <cfRule type="cellIs" dxfId="9" priority="24" operator="equal">
      <formula>"5 - Almost Certain"</formula>
    </cfRule>
  </conditionalFormatting>
  <conditionalFormatting sqref="F5:F18">
    <cfRule type="cellIs" dxfId="8" priority="11" operator="equal">
      <formula>"1 - Insignificant"</formula>
    </cfRule>
    <cfRule type="cellIs" dxfId="7" priority="12" operator="equal">
      <formula>"2 - Minor"</formula>
    </cfRule>
    <cfRule type="cellIs" dxfId="6" priority="13" operator="equal">
      <formula>"3 - Moderate"</formula>
    </cfRule>
    <cfRule type="cellIs" dxfId="5" priority="14" operator="equal">
      <formula>"4 - Major"</formula>
    </cfRule>
    <cfRule type="cellIs" dxfId="4" priority="15" operator="equal">
      <formula>"5 - Severe (Catastrophe)"</formula>
    </cfRule>
  </conditionalFormatting>
  <conditionalFormatting sqref="G5:G18">
    <cfRule type="expression" priority="4">
      <formula>IF(C2="","",IF(C2&lt;=5,"Low",IF(C2&lt;=10,"Medium",IF(C2&lt;=15,"High","Extreme"))))</formula>
    </cfRule>
  </conditionalFormatting>
  <conditionalFormatting sqref="G5:G18">
    <cfRule type="colorScale" priority="10">
      <colorScale>
        <cfvo type="num" val="1"/>
        <cfvo type="num" val="10"/>
        <cfvo type="num" val="25"/>
        <color rgb="FF00B050"/>
        <color rgb="FFFFC000"/>
        <color rgb="FFFF0000"/>
      </colorScale>
    </cfRule>
  </conditionalFormatting>
  <conditionalFormatting sqref="H5:H18">
    <cfRule type="cellIs" dxfId="3" priority="9" operator="equal">
      <formula>"Low"</formula>
    </cfRule>
  </conditionalFormatting>
  <conditionalFormatting sqref="H5:H18">
    <cfRule type="cellIs" dxfId="2" priority="3" operator="equal">
      <formula>"Medium"</formula>
    </cfRule>
    <cfRule type="cellIs" dxfId="1" priority="2" operator="equal">
      <formula>"High"</formula>
    </cfRule>
    <cfRule type="cellIs" dxfId="0" priority="1" operator="equal">
      <formula>"Extreme"</formula>
    </cfRule>
  </conditionalFormatting>
  <dataValidations count="5">
    <dataValidation type="list" showInputMessage="1" showErrorMessage="1" sqref="O6:O24" xr:uid="{70BB5FDC-3970-45CD-9274-33D0FE2ED7F8}">
      <formula1>"Planned, In Progress, Completed"</formula1>
    </dataValidation>
    <dataValidation type="list" allowBlank="1" showInputMessage="1" showErrorMessage="1" sqref="E5:E18" xr:uid="{1DB7B18B-CB60-4434-B7B5-E60AEBFCFE7C}">
      <formula1>"5 - Almost Certain, 4 - Likely, 3 - Possible, 2 - Unlikely, 1 - Rare"</formula1>
    </dataValidation>
    <dataValidation type="list" allowBlank="1" showInputMessage="1" showErrorMessage="1" sqref="F5:F18" xr:uid="{D221D92D-6815-4E37-993F-D78AD2E633BA}">
      <formula1>"5 - Severe (Catastrophe), 4 - Major, 3 - Moderate, 2 - Minor, 1 - Insignificant"</formula1>
    </dataValidation>
    <dataValidation type="whole" allowBlank="1" showInputMessage="1" showErrorMessage="1" sqref="G5:G18" xr:uid="{36E3D5BB-7602-45CA-AF4E-C42051FF3664}">
      <formula1>0</formula1>
      <formula2>25</formula2>
    </dataValidation>
    <dataValidation type="list" allowBlank="1" showInputMessage="1" showErrorMessage="1" sqref="H5:H18" xr:uid="{6FE258A0-0BDC-4703-8811-7376B651053B}">
      <formula1>"Low,Medium,High,Extreme"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Likelihood consequence risk</vt:lpstr>
      <vt:lpstr>Risk Assessment &amp; Treatment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vidyavati</dc:creator>
  <cp:lastModifiedBy>karthik.m</cp:lastModifiedBy>
  <dcterms:created xsi:type="dcterms:W3CDTF">2025-09-10T04:14:41Z</dcterms:created>
  <dcterms:modified xsi:type="dcterms:W3CDTF">2025-09-19T16:04:54Z</dcterms:modified>
</cp:coreProperties>
</file>